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yi/Desktop/Codes/Belize plots/data/C14 dates/"/>
    </mc:Choice>
  </mc:AlternateContent>
  <xr:revisionPtr revIDLastSave="0" documentId="13_ncr:1_{24BA7AE5-4361-D441-9384-D2BE8EC0F073}" xr6:coauthVersionLast="47" xr6:coauthVersionMax="47" xr10:uidLastSave="{00000000-0000-0000-0000-000000000000}"/>
  <bookViews>
    <workbookView xWindow="0" yWindow="760" windowWidth="30240" windowHeight="17600" activeTab="1" xr2:uid="{6FCDE71F-7A72-934E-A756-A32FB2176A91}"/>
  </bookViews>
  <sheets>
    <sheet name="Sheet1" sheetId="1" r:id="rId1"/>
    <sheet name="for R" sheetId="2" r:id="rId2"/>
  </sheets>
  <definedNames>
    <definedName name="_xlnm._FilterDatabase" localSheetId="1" hidden="1">'for R'!$A$1:$K$62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2" l="1"/>
  <c r="G61" i="2"/>
  <c r="G60" i="2"/>
  <c r="G59" i="2" l="1"/>
  <c r="G56" i="2"/>
  <c r="G55" i="2"/>
  <c r="G54" i="2"/>
  <c r="G58" i="2"/>
  <c r="G57" i="2"/>
  <c r="G53" i="2"/>
  <c r="G52" i="2"/>
  <c r="G51" i="2"/>
  <c r="G50" i="2" l="1"/>
  <c r="G49" i="2"/>
  <c r="G48" i="2"/>
  <c r="G47" i="2"/>
  <c r="G43" i="2"/>
  <c r="G42" i="2"/>
  <c r="G41" i="2"/>
  <c r="G40" i="2"/>
  <c r="G46" i="2"/>
  <c r="G45" i="2"/>
  <c r="G44" i="2"/>
  <c r="G39" i="2"/>
  <c r="G38" i="2"/>
  <c r="G37" i="2"/>
  <c r="G36" i="2"/>
  <c r="G35" i="2"/>
  <c r="G32" i="2" l="1"/>
  <c r="G30" i="2"/>
  <c r="G28" i="2"/>
  <c r="G27" i="2"/>
  <c r="G26" i="2"/>
  <c r="G25" i="2"/>
  <c r="G24" i="2"/>
  <c r="G23" i="2"/>
  <c r="G34" i="2"/>
  <c r="G33" i="2"/>
  <c r="G31" i="2"/>
  <c r="G29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<sst xmlns="http://schemas.openxmlformats.org/spreadsheetml/2006/main" count="803" uniqueCount="332">
  <si>
    <t>BETA</t>
  </si>
  <si>
    <t>SUBMITTER NO</t>
  </si>
  <si>
    <t>MATERIAL / PRETREATMENT</t>
  </si>
  <si>
    <t>CONVENTIONAL AGE</t>
  </si>
  <si>
    <t>IRMS d13C</t>
  </si>
  <si>
    <t>GR/19/C1/B/844-845/A</t>
  </si>
  <si>
    <t>(peat): none</t>
  </si>
  <si>
    <t>6140 +/- 30 BP</t>
  </si>
  <si>
    <t xml:space="preserve">(95.4%)   5209 - 4997 cal  BC       (7158 - 6946 cal  BP)          </t>
  </si>
  <si>
    <t>-27.8 o/oo</t>
  </si>
  <si>
    <t>GR/19/C1/B/844-845/E</t>
  </si>
  <si>
    <t>(plant material): acid/alkali/acid</t>
  </si>
  <si>
    <t>6180 +/- 40 BP</t>
  </si>
  <si>
    <t xml:space="preserve">(93.6%)   5218 - 5003 cal  BC       (7167 - 6952 cal  BP)          </t>
  </si>
  <si>
    <t xml:space="preserve">(1.8%)    5286 - 5272 cal  BC       (7235 - 7221 cal  BP)          </t>
  </si>
  <si>
    <t>GR/19/C1/B/844-845/F</t>
  </si>
  <si>
    <t>6150 +/- 30 BP</t>
  </si>
  <si>
    <t xml:space="preserve">(95.4%)   5209 - 5005 cal  BC       (7158 - 6954 cal  BP)          </t>
  </si>
  <si>
    <t>-26.8 o/oo</t>
  </si>
  <si>
    <t>GR/19/C1/B/850-851/D</t>
  </si>
  <si>
    <t>6380 +/- 30 BP</t>
  </si>
  <si>
    <t xml:space="preserve">(74.6%)   5409 - 5305 cal  BC       (7358 - 7254 cal  BP)          </t>
  </si>
  <si>
    <t xml:space="preserve">(16%)     5471 - 5433 cal  BC       (7420 - 7382 cal  BP)          </t>
  </si>
  <si>
    <t xml:space="preserve">(4.8%)    5250 - 5227 cal  BC       (7199 - 7176 cal  BP)          </t>
  </si>
  <si>
    <t>-27.3 o/oo</t>
  </si>
  <si>
    <t>GR/19/C1/B/850-851/F</t>
  </si>
  <si>
    <t>6390 +/- 30 BP</t>
  </si>
  <si>
    <t xml:space="preserve">(71.9%)   5414 - 5308 cal  BC       (7363 - 7257 cal  BP)          </t>
  </si>
  <si>
    <t xml:space="preserve">(22.9%)   5473 - 5429 cal  BC       (7422 - 7378 cal  BP)          </t>
  </si>
  <si>
    <t xml:space="preserve">(0.6%)    5240 - 5236 cal  BC       (7189 - 7185 cal  BP)          </t>
  </si>
  <si>
    <t>-26.0 o/oo</t>
  </si>
  <si>
    <t>CALENDAR CALIBRATION (95.4 % PROBABILITY)</t>
  </si>
  <si>
    <t>GR/19/C1/B/850-851A</t>
  </si>
  <si>
    <t>6170 +/- 30 BP</t>
  </si>
  <si>
    <t xml:space="preserve">(94.5%)   5214 - 5029 cal  BC       (7163 - 6978 cal  BP)          </t>
  </si>
  <si>
    <t xml:space="preserve">(0.9%)    5021 - 5015 cal  BC       (6970 - 6964 cal  BP)          </t>
  </si>
  <si>
    <t>-27.5 o/oo</t>
  </si>
  <si>
    <t>CALIBRATION CURVE</t>
  </si>
  <si>
    <t>IntCal20</t>
  </si>
  <si>
    <t>GR/19/C1/B/104-105/A</t>
  </si>
  <si>
    <t>GR/19/C1/B/104-105/C</t>
  </si>
  <si>
    <t>GR/19/C1/B/104-105/D</t>
  </si>
  <si>
    <t>GR/19/C1/B/104-105/F</t>
  </si>
  <si>
    <t>2180 +/- 30 BP</t>
  </si>
  <si>
    <t>2190 +/- 30 BP</t>
  </si>
  <si>
    <t>(charred material): acid/alkali/acid</t>
  </si>
  <si>
    <t>2080 +/- 30 BP</t>
  </si>
  <si>
    <t>1980 +/- 30 BP</t>
  </si>
  <si>
    <t>(94.3%)   364 - 150 cal  BC         (2313 - 2099 cal  BP)           </t>
  </si>
  <si>
    <t>(1.1%)    131 - 121 cal  BC         (2080 - 2070 cal  BP)</t>
  </si>
  <si>
    <t>-27.4 o/oo</t>
  </si>
  <si>
    <t>(95.4%)   369 - 165 cal  BC         (2318 - 2114 cal  BP)</t>
  </si>
  <si>
    <t>-28.3 o/oo</t>
  </si>
  <si>
    <t>(89.3%)   175 - 26 cal  BC          (2124 - 1975 cal  BP)           </t>
  </si>
  <si>
    <t>(6.1%)    19 cal  BC - 8 cal  AD    (1968 - 1942 cal  BP)</t>
  </si>
  <si>
    <t>(95.4%)   43 cal  BC - 120 cal  AD  (1992 - 1830 cal  BP)</t>
  </si>
  <si>
    <t>GR/19/C1/B/104-105/G</t>
  </si>
  <si>
    <t>1630 +/- 30 BP</t>
  </si>
  <si>
    <t>(95.4%) 382 - 542 cal AD (1568 - 1408 cal BP)</t>
  </si>
  <si>
    <t>-27.2 o/oo</t>
  </si>
  <si>
    <t>GR/19/C1/B/68-70/H</t>
  </si>
  <si>
    <t>GR/19/C1/B/68-70/G</t>
  </si>
  <si>
    <t>GR/19/C1/B/68-70/F</t>
  </si>
  <si>
    <t>GR/19/C1/B/68-70/E</t>
  </si>
  <si>
    <t>GR/19/C1/B/68-70/D</t>
  </si>
  <si>
    <t>GR/19/C1/B/68-70/C</t>
  </si>
  <si>
    <t>GR/19/C1/B/68-70/B</t>
  </si>
  <si>
    <t>GR/19/C1/B/68-70/A</t>
  </si>
  <si>
    <t>480 +/- 30 BP</t>
  </si>
  <si>
    <t>(95.4%)   1407 - 1456 cal  AD       (543 - 494 cal  BP)</t>
  </si>
  <si>
    <t>560 +/- 30 BP</t>
  </si>
  <si>
    <t>(48.5%)   1312 - 1362 cal  AD       (638 - 588 cal  BP)       </t>
  </si>
  <si>
    <t>(46.9%)   1386 - 1428 cal  AD       (564 - 522 cal  BP)     </t>
  </si>
  <si>
    <t>1320 +/- 30 BP</t>
  </si>
  <si>
    <t>(51.6%)   653 - 708 cal  AD         (1297 - 1242 cal  BP)   </t>
  </si>
  <si>
    <t>(43.8%)   724 - 774 cal  AD         (1226 - 1176 cal  BP)        </t>
  </si>
  <si>
    <t>400 +/- 30 BP</t>
  </si>
  <si>
    <t>(73.8%)   1437 - 1522 cal  AD       (513 - 428 cal  BP)   </t>
  </si>
  <si>
    <t>(21.6%)   1574 - 1625 cal  AD       (376 - 325 cal  BP)         </t>
  </si>
  <si>
    <t>1010 +/- 30 BP</t>
  </si>
  <si>
    <t>(69.7%)   990 - 1050 cal  AD        (960 - 900 cal  BP)     </t>
  </si>
  <si>
    <t>(25.7%)   1080 - 1154 cal  AD       (870 - 796 cal  BP)       </t>
  </si>
  <si>
    <t>1060 +/- 30 BP</t>
  </si>
  <si>
    <t>(78.6%)   948 - 1030 cal  AD        (1002 - 920 cal  BP)            </t>
  </si>
  <si>
    <t>1200 +/- 40 BP</t>
  </si>
  <si>
    <t>(76.5%)   770 - 899 cal  AD         (1180 - 1051 cal  BP) </t>
  </si>
  <si>
    <t>(11.3%)   684 - 743 cal  AD         (1266 - 1207 cal  BP)           </t>
  </si>
  <si>
    <t>(7.1%)    918 - 960 cal  AD         (1032 - 990 cal  BP)    </t>
  </si>
  <si>
    <t>(0.5%)    966 - 972 cal  AD         (984 - 978 cal  BP)               </t>
  </si>
  <si>
    <t>980 +/- 30 BP</t>
  </si>
  <si>
    <t>(92.7%)   1017 - 1158 cal  AD       (933 - 792 cal  BP) </t>
  </si>
  <si>
    <t>(2.7%)    996 - 1004 cal  AD        (954 - 946 cal  BP)            </t>
  </si>
  <si>
    <t>-25.2 o/oo</t>
  </si>
  <si>
    <t>603741</t>
  </si>
  <si>
    <t>-25.3 o/oo</t>
  </si>
  <si>
    <t>603740</t>
  </si>
  <si>
    <t>-25.4 o/oo</t>
  </si>
  <si>
    <t>603739</t>
  </si>
  <si>
    <t>-25.1 o/oo</t>
  </si>
  <si>
    <t>603738</t>
  </si>
  <si>
    <t>-25.7 o/oo</t>
  </si>
  <si>
    <t>603737</t>
  </si>
  <si>
    <t>-26.7 o/oo</t>
  </si>
  <si>
    <t>603736</t>
  </si>
  <si>
    <t>NA</t>
  </si>
  <si>
    <t>Type</t>
  </si>
  <si>
    <t>macro</t>
  </si>
  <si>
    <t>GR/19/C1/B/501-503/A</t>
  </si>
  <si>
    <t>(organic material): none</t>
  </si>
  <si>
    <t>4620 +/- 30 BP</t>
  </si>
  <si>
    <t xml:space="preserve">
(66.7%)   3514 - 3425 cal  BC       (5463 - 5374 cal  BP)           
(26.7%)   3384 - 3347 cal  BC       (5333 - 5296 cal  BP)           
(2.1%)    3410 - 3396 cal  BC       (5359 - 5345 cal  BP)           
</t>
  </si>
  <si>
    <t>GR/19/C1/B/669-671/A</t>
  </si>
  <si>
    <t>5680 +/- 30 BP</t>
  </si>
  <si>
    <t xml:space="preserve">
(95.4%)   4606 - 4447 cal  BC       (6555 - 6396 cal  BP)           
</t>
  </si>
  <si>
    <t>-27.7 o/oo</t>
  </si>
  <si>
    <t>GR/19/C1/B/501-503/C</t>
  </si>
  <si>
    <t>4630 +/- 30 BP</t>
  </si>
  <si>
    <t xml:space="preserve">
(71.5%)   3514 - 3424 cal  BC       (5463 - 5373 cal  BP)           
(20.3%)   3385 - 3356 cal  BC       (5334 - 5305 cal  BP)           
(3.7%)    3411 - 3395 cal  BC       (5360 - 5344 cal  BP)           
</t>
  </si>
  <si>
    <t>-28.9 o/oo</t>
  </si>
  <si>
    <t>GR/19/C1/B/501-503/K</t>
  </si>
  <si>
    <t>4840 +/- 30 BP</t>
  </si>
  <si>
    <t xml:space="preserve">
(49.5%)   3655 - 3602 cal  BC       (5604 - 5551 cal  BP)           
(43.4%)   3589 - 3528 cal  BC       (5538 - 5477 cal  BP)           
(2.5%)    3701 - 3686 cal  BC       (5650 - 5635 cal  BP)           
</t>
  </si>
  <si>
    <t>-29.7 o/oo</t>
  </si>
  <si>
    <t>GR/19/C1/B/501-503/J</t>
  </si>
  <si>
    <t>4880 +/- 30 BP</t>
  </si>
  <si>
    <t xml:space="preserve">
(91.6%)   3711 - 3630 cal  BC       (5660 - 5579 cal  BP)           
(2.8%)    3555 - 3539 cal  BC       (5504 - 5488 cal  BP)           
(1%)      3755 - 3745 cal  BC       (5704 - 5694 cal  BP)           
</t>
  </si>
  <si>
    <t>-27.6 o/oo</t>
  </si>
  <si>
    <t>621082"</t>
  </si>
  <si>
    <t>GR/19/C1/B/501-503/I</t>
  </si>
  <si>
    <t xml:space="preserve"> </t>
  </si>
  <si>
    <t>4990 +/- 30 BP</t>
  </si>
  <si>
    <t xml:space="preserve">
(70.4%)   3806 - 3698 cal  BC       (5755 - 5647 cal  BP)           
(15.1%)   3937 - 3875 cal  BC       (5886 - 5824 cal  BP)           
(9.9%)    3686 - 3654 cal  BC       (5635 - 5603 cal  BP)           
</t>
  </si>
  <si>
    <t>GR/19/C1/B/669-671/J</t>
  </si>
  <si>
    <t>6010 +/- 30 BP</t>
  </si>
  <si>
    <t xml:space="preserve">
(91.9%)   4994 - 4832 cal  BC       (6943 - 6781 cal  BP)           
(3.5%)    4816 - 4800 cal  BC       (6765 - 6749 cal  BP)           
</t>
  </si>
  <si>
    <t>-28.4 o/oo</t>
  </si>
  <si>
    <t>GR/19/C1/B/669-671/I</t>
  </si>
  <si>
    <t>5990 +/- 30 BP</t>
  </si>
  <si>
    <t xml:space="preserve">
(93.4%)   4954 - 4791 cal  BC       (6903 - 6740 cal  BP)           
(2%)      4986 - 4971 cal  BC       (6935 - 6920 cal  BP)           
</t>
  </si>
  <si>
    <t>GR/19/C1/B/669-671/G</t>
  </si>
  <si>
    <t>6020 +/- 30 BP</t>
  </si>
  <si>
    <t xml:space="preserve">
(94.2%)   4999 - 4835 cal  BC       (6948 - 6784 cal  BP)           
(1.2%)    4811 - 4803 cal  BC       (6760 - 6752 cal  BP)           
</t>
  </si>
  <si>
    <t>-28.2 o/oo</t>
  </si>
  <si>
    <t>GR/19/C1/B/669-671/F</t>
  </si>
  <si>
    <t>2930 +/- 30 BP</t>
  </si>
  <si>
    <t xml:space="preserve">
(95.4%)   1221 - 1016 cal  BC       (3170 - 2965 cal  BP)           
</t>
  </si>
  <si>
    <t>-25.9 o/oo</t>
  </si>
  <si>
    <t>GR/19/C1/B/669-671/D</t>
  </si>
  <si>
    <t>5580 +/- 30 BP</t>
  </si>
  <si>
    <t xml:space="preserve">
(93.9%)   4456 - 4350 cal  BC       (6405 - 6299 cal  BP)           
(1.5%)    4486 - 4479 cal  BC       (6435 - 6428 cal  BP)           
</t>
  </si>
  <si>
    <t>-26.9 o/oo</t>
  </si>
  <si>
    <t>GR/19/C1/B/669-671/C</t>
  </si>
  <si>
    <t>-29.4 o/oo</t>
  </si>
  <si>
    <t>GR/19/C1/B/501-503/B</t>
  </si>
  <si>
    <t>4610 +/- 30 BP</t>
  </si>
  <si>
    <t xml:space="preserve">
(58.4%)   3512 - 3427 cal  BC       (5461 - 5376 cal  BP)           
(35.1%)   3384 - 3339 cal  BC       (5333 - 5288 cal  BP)           
(1%)      3408 - 3398 cal  BC       (5357 - 5347 cal  BP)           
(0.9%)    3207 - 3197 cal  BC       (5156 - 5146 cal  BP)           
</t>
  </si>
  <si>
    <t>GR/19/C1/B/669-671/B</t>
  </si>
  <si>
    <t>5820 +/- 30 BP</t>
  </si>
  <si>
    <t xml:space="preserve">
(84.7%)   4731 - 4586 cal  BC       (6680 - 6535 cal  BP)           
(8.2%)    4784 - 4744 cal  BC       (6733 - 6693 cal  BP)           
(2.5%)    4569 - 4552 cal  BC       (6518 - 6501 cal  BP)           
</t>
  </si>
  <si>
    <t>GR/19/C1/B/501-503/E</t>
  </si>
  <si>
    <t>-26.1 o/oo</t>
  </si>
  <si>
    <t>Depth</t>
  </si>
  <si>
    <t>Thickness</t>
  </si>
  <si>
    <t>Pretreatment</t>
  </si>
  <si>
    <t>AAA</t>
  </si>
  <si>
    <t>A</t>
  </si>
  <si>
    <t>AAA-BI</t>
  </si>
  <si>
    <t>AAA-BS</t>
  </si>
  <si>
    <t>fine fraction</t>
  </si>
  <si>
    <t>GR/19/C1/C/748-750/I</t>
  </si>
  <si>
    <t>GR/19/C1/C/748-750/G</t>
  </si>
  <si>
    <t>GR/19/C1/C/748-750/F</t>
  </si>
  <si>
    <t>GR/19/C1/C/748-750/E</t>
  </si>
  <si>
    <t>GR/19/C1/C/748-750/D</t>
  </si>
  <si>
    <t>GR/19/C1/C/648-650/J</t>
  </si>
  <si>
    <t>638186"</t>
  </si>
  <si>
    <t>GR/19/C1/C/648-650/I</t>
  </si>
  <si>
    <t>GR/19/C1/C/648-650/G</t>
  </si>
  <si>
    <t>GR/19/C1/C/648-650/F</t>
  </si>
  <si>
    <t>GR/19/C1/C/648-650/E</t>
  </si>
  <si>
    <t>GR/19/C1/C/748-750/C</t>
  </si>
  <si>
    <t>GR/19/C1/C/748-750/B</t>
  </si>
  <si>
    <t>GR/19/C1/C/748-750/A</t>
  </si>
  <si>
    <t>GR/19/C1/C/648-650/C</t>
  </si>
  <si>
    <t>GR/19/C1/C/648-650/B</t>
  </si>
  <si>
    <t>GR/19/C1/C/648-650/A</t>
  </si>
  <si>
    <t>638185"</t>
  </si>
  <si>
    <t>GR/19/C1/C/648-650/H</t>
  </si>
  <si>
    <t>6110 +/- 30 BP</t>
  </si>
  <si>
    <t>6050 +/- 30 BP</t>
  </si>
  <si>
    <t>5970 +/- 30 BP</t>
  </si>
  <si>
    <t>5770 +/- 30 BP</t>
  </si>
  <si>
    <t>6000 +/- 30 BP</t>
  </si>
  <si>
    <t>5890 +/- 30 BP</t>
  </si>
  <si>
    <t>6120 +/- 30 BP</t>
  </si>
  <si>
    <t>5600 +/- 30 BP</t>
  </si>
  <si>
    <t>6060 +/- 30 BP</t>
  </si>
  <si>
    <t>5480 +/- 30 BP</t>
  </si>
  <si>
    <t>5900 +/- 30 BP</t>
  </si>
  <si>
    <t>5920 +/- 30 BP</t>
  </si>
  <si>
    <t>-26.6 o/oo</t>
  </si>
  <si>
    <t>-26.5 o/oo</t>
  </si>
  <si>
    <t>-28.0 o/oo</t>
  </si>
  <si>
    <t>-29.3 o/oo</t>
  </si>
  <si>
    <t xml:space="preserve">
(95.4%)   5209 - 4997 cal  BC       (7158 - 6946 cal  BP)           
</t>
  </si>
  <si>
    <t xml:space="preserve">
(72.4%)   5083 - 4939 cal  BC       (7032 - 6888 cal  BP)           
(18.5%)   5209 - 5156 cal  BC       (7158 - 7105 cal  BP)           
(4.5%)    5125 - 5091 cal  BC       (7074 - 7040 cal  BP)           
</t>
  </si>
  <si>
    <t xml:space="preserve">
(95.4%)   5036 - 4846 cal  BC       (6985 - 6795 cal  BP)           
</t>
  </si>
  <si>
    <t xml:space="preserve">
(95.4%)   5209 - 5005 cal  BC       (7158 - 6954 cal  BP)           
</t>
  </si>
  <si>
    <t xml:space="preserve">
(93.2%)   4944 - 4782 cal  BC       (6893 - 6731 cal  BP)           
(2.2%)    4750 - 4731 cal  BC       (6699 - 6680 cal  BP)           
</t>
  </si>
  <si>
    <t xml:space="preserve">
(95.4%)   4709 - 4542 cal  BC       (6658 - 6491 cal  BP)           
</t>
  </si>
  <si>
    <t xml:space="preserve">
(95.4%)   4988 - 4797 cal  BC       (6937 - 6746 cal  BP)           
</t>
  </si>
  <si>
    <t xml:space="preserve">
(95.4%)   4838 - 4703 cal  BC       (6787 - 6652 cal  BP)           
</t>
  </si>
  <si>
    <t xml:space="preserve">
(72.2%)   5126 - 4947 cal  BC       (7075 - 6896 cal  BP)           
(23.2%)   5209 - 5152 cal  BC       (7158 - 7101 cal  BP)           
</t>
  </si>
  <si>
    <t xml:space="preserve">
(86.1%)   4462 - 4355 cal  BC       (6411 - 6304 cal  BP)           
(9.3%)    4494 - 4470 cal  BC       (6443 - 6419 cal  BP)           
</t>
  </si>
  <si>
    <t xml:space="preserve">
(88%)     5046 - 4885 cal  BC       (6995 - 6834 cal  BP)           
(6.8%)    4871 - 4847 cal  BC       (6820 - 6796 cal  BP)           
(0.6%)    5197 - 5192 cal  BC       (7146 - 7141 cal  BP)           
</t>
  </si>
  <si>
    <t xml:space="preserve">
(60.9%)   4366 - 4316 cal  BC       (6315 - 6265 cal  BP)           
(31.5%)   4299 - 4253 cal  BC       (6248 - 6202 cal  BP)           
(2.9%)    4440 - 4424 cal  BC       (6389 - 6373 cal  BP)           
</t>
  </si>
  <si>
    <t xml:space="preserve">
(95.4%)   4841 - 4711 cal  BC       (6790 - 6660 cal  BP)           
</t>
  </si>
  <si>
    <t xml:space="preserve">
(92.3%)   4848 - 4716 cal  BC       (6797 - 6665 cal  BP)           
(3.1%)    4887 - 4870 cal  BC       (6836 - 6819 cal  BP)           
</t>
  </si>
  <si>
    <t>GR/19/C1/C/333-335/A</t>
  </si>
  <si>
    <t>(peat) none</t>
  </si>
  <si>
    <t>4290 +/- 30 BP</t>
  </si>
  <si>
    <t>(88.6%) 2936 - 2876 cal BC  (4885 - 4825 cal BP)
( 5.9%)  3010 - 2981 cal BC  (4959 - 4930 cal BP)
( 0.9%) 2961 - 2951 cal BC  (4910 - 4900 cal BP)</t>
  </si>
  <si>
    <t>GR/19/C1/C/333-335/B</t>
  </si>
  <si>
    <t>4310 +/- 30 BP</t>
  </si>
  <si>
    <t>(95.4%) 3011 - 2885 cal BC  (4960 - 4834 cal BP)</t>
  </si>
  <si>
    <t>GR/19/C1/C/333-335/C</t>
  </si>
  <si>
    <t>4300 +/- 30 BP</t>
  </si>
  <si>
    <t>(80.7%) 2939 - 2881 cal BC  (4888 - 4830 cal BP)
(11.3%) 3011 - 2974 cal BC  (4960 - 4923 cal BP)
( 3.4%) 2969 - 2948 cal BC  (4918 - 4897 cal BP)</t>
  </si>
  <si>
    <t>GR/19/C1/C/573-575/A</t>
  </si>
  <si>
    <t>5440 +/- 30 BP</t>
  </si>
  <si>
    <t>(95.4%) 4348 - 4248 cal BC  (6297 - 6197 cal BP)</t>
  </si>
  <si>
    <t>-28.1 o/oo</t>
  </si>
  <si>
    <t>GR/19/C1/C/573-575/B</t>
  </si>
  <si>
    <t>5310 +/- 30 BP</t>
  </si>
  <si>
    <t>(95.4%) 4246 - 4046 cal BC  (6195 - 5995 cal BP)</t>
  </si>
  <si>
    <t>-28.8 o/oo</t>
  </si>
  <si>
    <t>GR/19/C1/C/573-575/C</t>
  </si>
  <si>
    <t>5660 +/- 30 BP</t>
  </si>
  <si>
    <t>(87.4%) 4551 - 4442 cal BC (6500 - 6391 cal BP)
( 7.4%) 4423 - 4369 cal BC (6372 - 6318 cal BP)
( 0.6%) 4581 - 4574 cal BC (6530 - 6523 cal BP)</t>
  </si>
  <si>
    <t>GR/19/C1/C/333-335/D</t>
  </si>
  <si>
    <t>(plant material) acid/alkali/acid</t>
  </si>
  <si>
    <t>4660 +/- 30 BP</t>
  </si>
  <si>
    <t>(95.4%) 3516 - 3368 cal BC (5465 - 5317 cal BP)</t>
  </si>
  <si>
    <t>GR/19/C1/C/333-335/E</t>
  </si>
  <si>
    <t>(charred material) acid/alkali/acid</t>
  </si>
  <si>
    <t>3660 +/- 30 BP</t>
  </si>
  <si>
    <t>(95.4%) 2137 - 1948 cal BC (4086 - 3897 cal BP)</t>
  </si>
  <si>
    <t>GR/19/C1/C/573-575/D</t>
  </si>
  <si>
    <t>5980 +/- 30 BP</t>
  </si>
  <si>
    <t>(94.6%) 4952 - 4784 cal BC (6901 - 6733 cal BP)
( 0.8%) 4984 - 4974 cal BC (6933 - 6923 cal BP)</t>
  </si>
  <si>
    <t>2470 +/- 30 BP</t>
  </si>
  <si>
    <t>GR/19/C1/B/147-149</t>
  </si>
  <si>
    <t>GR/19/C1/B/256-257</t>
  </si>
  <si>
    <t>GR/19/C1/B/406.5-407.5</t>
  </si>
  <si>
    <t>3370 +/- 30 BP</t>
  </si>
  <si>
    <t>4920 +/- 30 BP</t>
  </si>
  <si>
    <t>(93.3%) 765 - 464 cal BC (2714 - 2413 cal BP)
(2.1%) 435 - 420 cal BC (2384 - 2369 cal BP)</t>
  </si>
  <si>
    <t>(69.1%) 1699 - 1598 cal BC (3648 - 3547 cal BP)
(15.7%) 1741 - 1707 cal BC (3690 - 3656 cal BP)
(10.7%) 1590 - 1542 cal BC (3539 - 3491 cal BP)</t>
  </si>
  <si>
    <t>(95.4%) 3768 - 3640 cal BC (5717 - 5589 cal BP)</t>
  </si>
  <si>
    <t>-27.75 o/oo</t>
  </si>
  <si>
    <t>-25.97 o/oo</t>
  </si>
  <si>
    <t>-27.47 o/oo</t>
  </si>
  <si>
    <t>age</t>
  </si>
  <si>
    <t>sd</t>
  </si>
  <si>
    <t>curve</t>
  </si>
  <si>
    <t>labID</t>
  </si>
  <si>
    <t>BETA 588803</t>
  </si>
  <si>
    <t>BETA 588806</t>
  </si>
  <si>
    <t>BETA 588807</t>
  </si>
  <si>
    <t>BETA 588804</t>
  </si>
  <si>
    <t>BETA 588805</t>
  </si>
  <si>
    <t>BETA 588802</t>
  </si>
  <si>
    <t>BETA 597077</t>
  </si>
  <si>
    <t>BETA 597078</t>
  </si>
  <si>
    <t>BETA 597079</t>
  </si>
  <si>
    <t>BETA 597081</t>
  </si>
  <si>
    <t>BETA 597082</t>
  </si>
  <si>
    <t>BETA 603742</t>
  </si>
  <si>
    <t>BETA 603741</t>
  </si>
  <si>
    <t>BETA 603740</t>
  </si>
  <si>
    <t>BETA 603739</t>
  </si>
  <si>
    <t>BETA 603738</t>
  </si>
  <si>
    <t>BETA 603737</t>
  </si>
  <si>
    <t>BETA 603736</t>
  </si>
  <si>
    <t>BETA 603735</t>
  </si>
  <si>
    <t>BETA 621084</t>
  </si>
  <si>
    <t>BETA 621083</t>
  </si>
  <si>
    <t>BETA 621080</t>
  </si>
  <si>
    <t>BETA 621079</t>
  </si>
  <si>
    <t>BETA 621078</t>
  </si>
  <si>
    <t>BETA 621077</t>
  </si>
  <si>
    <t>BETA 621076</t>
  </si>
  <si>
    <t>BETA 621075</t>
  </si>
  <si>
    <t>BETA 621074</t>
  </si>
  <si>
    <t>BETA 621073</t>
  </si>
  <si>
    <t>BETA 621072</t>
  </si>
  <si>
    <t>BETA 621071</t>
  </si>
  <si>
    <t>BETA 621070</t>
  </si>
  <si>
    <t>BETA 621081</t>
  </si>
  <si>
    <t>BETA 638192</t>
  </si>
  <si>
    <t>BETA 638191</t>
  </si>
  <si>
    <t>BETA 638190</t>
  </si>
  <si>
    <t>BETA 638189</t>
  </si>
  <si>
    <t>BETA 638188</t>
  </si>
  <si>
    <t>BETA 638187</t>
  </si>
  <si>
    <t>BETA 638184</t>
  </si>
  <si>
    <t>BETA 638183</t>
  </si>
  <si>
    <t>BETA 638182</t>
  </si>
  <si>
    <t>BETA 638181</t>
  </si>
  <si>
    <t>BETA 638180</t>
  </si>
  <si>
    <t>BETA 638179</t>
  </si>
  <si>
    <t>BETA 638178</t>
  </si>
  <si>
    <t>BETA 638177</t>
  </si>
  <si>
    <t>BETA 638176</t>
  </si>
  <si>
    <t>BETA 638185"</t>
  </si>
  <si>
    <t>BETA 647782</t>
  </si>
  <si>
    <t>BETA 647783</t>
  </si>
  <si>
    <t>BETA 647784</t>
  </si>
  <si>
    <t>BETA 647785</t>
  </si>
  <si>
    <t>BETA 647786</t>
  </si>
  <si>
    <t>BETA 647787</t>
  </si>
  <si>
    <t>BETA 647788</t>
  </si>
  <si>
    <t>BETA 647789</t>
  </si>
  <si>
    <t>BETA 647790</t>
  </si>
  <si>
    <t>BETA 711720</t>
  </si>
  <si>
    <t>BETA 711721</t>
  </si>
  <si>
    <t>BETA 711722</t>
  </si>
  <si>
    <t>degraded plant material</t>
  </si>
  <si>
    <t>degraded bark</t>
  </si>
  <si>
    <t>wood</t>
  </si>
  <si>
    <t>charcoal</t>
  </si>
  <si>
    <t>DatingMaterial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</si>
</sst>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22" fontId="0" fillId="0" borderId="0" xfId="0" applyNumberForma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E4A0-8D76-7D43-B7AF-68AC6B3BEC41}">
  <dimension ref="A1:AD86"/>
  <sheetViews>
    <sheetView zoomScaleNormal="150" workbookViewId="0">
      <selection activeCell="D2" sqref="D2:D86"/>
    </sheetView>
  </sheetViews>
  <sheetFormatPr baseColWidth="10" defaultRowHeight="16" x14ac:dyDescent="0.2"/>
  <cols>
    <col min="1" max="1" width="8.6640625" bestFit="1" customWidth="1"/>
    <col min="2" max="2" width="21.1640625" bestFit="1" customWidth="1"/>
    <col min="3" max="3" width="28.33203125" bestFit="1" customWidth="1"/>
    <col min="4" max="4" width="16.5" bestFit="1" customWidth="1"/>
    <col min="5" max="5" width="44.6640625" customWidth="1"/>
    <col min="6" max="6" width="36" customWidth="1"/>
    <col min="7" max="7" width="18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4" t="s">
        <v>37</v>
      </c>
    </row>
    <row r="2" spans="1:7" x14ac:dyDescent="0.2">
      <c r="A2" s="16">
        <v>588803</v>
      </c>
      <c r="B2" s="16" t="s">
        <v>5</v>
      </c>
      <c r="C2" s="16" t="s">
        <v>6</v>
      </c>
      <c r="D2" s="16" t="s">
        <v>7</v>
      </c>
      <c r="E2" s="2"/>
      <c r="F2" s="16" t="s">
        <v>9</v>
      </c>
      <c r="G2" s="19" t="s">
        <v>38</v>
      </c>
    </row>
    <row r="3" spans="1:7" x14ac:dyDescent="0.2">
      <c r="A3" s="16"/>
      <c r="B3" s="16"/>
      <c r="C3" s="16"/>
      <c r="D3" s="16"/>
      <c r="E3" s="3" t="s">
        <v>8</v>
      </c>
      <c r="F3" s="16"/>
      <c r="G3" s="19"/>
    </row>
    <row r="4" spans="1:7" x14ac:dyDescent="0.2">
      <c r="A4" s="16">
        <v>588806</v>
      </c>
      <c r="B4" s="16" t="s">
        <v>10</v>
      </c>
      <c r="C4" s="16" t="s">
        <v>11</v>
      </c>
      <c r="D4" s="16" t="s">
        <v>12</v>
      </c>
      <c r="E4" s="2"/>
      <c r="F4" s="16" t="s">
        <v>9</v>
      </c>
      <c r="G4" s="19" t="s">
        <v>38</v>
      </c>
    </row>
    <row r="5" spans="1:7" x14ac:dyDescent="0.2">
      <c r="A5" s="16"/>
      <c r="B5" s="16"/>
      <c r="C5" s="16"/>
      <c r="D5" s="16"/>
      <c r="E5" s="3" t="s">
        <v>13</v>
      </c>
      <c r="F5" s="16"/>
      <c r="G5" s="19"/>
    </row>
    <row r="6" spans="1:7" x14ac:dyDescent="0.2">
      <c r="A6" s="16"/>
      <c r="B6" s="16"/>
      <c r="C6" s="16"/>
      <c r="D6" s="16"/>
      <c r="E6" s="3" t="s">
        <v>14</v>
      </c>
      <c r="F6" s="16"/>
      <c r="G6" s="19"/>
    </row>
    <row r="7" spans="1:7" x14ac:dyDescent="0.2">
      <c r="A7" s="16">
        <v>588807</v>
      </c>
      <c r="B7" s="16" t="s">
        <v>15</v>
      </c>
      <c r="C7" s="16" t="s">
        <v>11</v>
      </c>
      <c r="D7" s="16" t="s">
        <v>16</v>
      </c>
      <c r="E7" s="2"/>
      <c r="F7" s="16" t="s">
        <v>18</v>
      </c>
      <c r="G7" s="19" t="s">
        <v>38</v>
      </c>
    </row>
    <row r="8" spans="1:7" x14ac:dyDescent="0.2">
      <c r="A8" s="16"/>
      <c r="B8" s="16"/>
      <c r="C8" s="16"/>
      <c r="D8" s="16"/>
      <c r="E8" s="3" t="s">
        <v>17</v>
      </c>
      <c r="F8" s="16"/>
      <c r="G8" s="19"/>
    </row>
    <row r="9" spans="1:7" x14ac:dyDescent="0.2">
      <c r="A9" s="16">
        <v>588804</v>
      </c>
      <c r="B9" s="16" t="s">
        <v>19</v>
      </c>
      <c r="C9" s="16" t="s">
        <v>11</v>
      </c>
      <c r="D9" s="16" t="s">
        <v>20</v>
      </c>
      <c r="E9" s="2"/>
      <c r="F9" s="16" t="s">
        <v>24</v>
      </c>
      <c r="G9" s="19" t="s">
        <v>38</v>
      </c>
    </row>
    <row r="10" spans="1:7" x14ac:dyDescent="0.2">
      <c r="A10" s="16"/>
      <c r="B10" s="16"/>
      <c r="C10" s="16"/>
      <c r="D10" s="16"/>
      <c r="E10" s="3" t="s">
        <v>21</v>
      </c>
      <c r="F10" s="16"/>
      <c r="G10" s="19"/>
    </row>
    <row r="11" spans="1:7" x14ac:dyDescent="0.2">
      <c r="A11" s="16"/>
      <c r="B11" s="16"/>
      <c r="C11" s="16"/>
      <c r="D11" s="16"/>
      <c r="E11" s="3" t="s">
        <v>22</v>
      </c>
      <c r="F11" s="16"/>
      <c r="G11" s="19"/>
    </row>
    <row r="12" spans="1:7" x14ac:dyDescent="0.2">
      <c r="A12" s="16"/>
      <c r="B12" s="16"/>
      <c r="C12" s="16"/>
      <c r="D12" s="16"/>
      <c r="E12" s="3" t="s">
        <v>23</v>
      </c>
      <c r="F12" s="16"/>
      <c r="G12" s="19"/>
    </row>
    <row r="13" spans="1:7" x14ac:dyDescent="0.2">
      <c r="A13" s="16">
        <v>588805</v>
      </c>
      <c r="B13" s="16" t="s">
        <v>25</v>
      </c>
      <c r="C13" s="16" t="s">
        <v>11</v>
      </c>
      <c r="D13" s="16" t="s">
        <v>26</v>
      </c>
      <c r="E13" s="2"/>
      <c r="F13" s="16" t="s">
        <v>30</v>
      </c>
      <c r="G13" s="19" t="s">
        <v>38</v>
      </c>
    </row>
    <row r="14" spans="1:7" x14ac:dyDescent="0.2">
      <c r="A14" s="16"/>
      <c r="B14" s="16"/>
      <c r="C14" s="16"/>
      <c r="D14" s="16"/>
      <c r="E14" s="3" t="s">
        <v>27</v>
      </c>
      <c r="F14" s="16"/>
      <c r="G14" s="19"/>
    </row>
    <row r="15" spans="1:7" x14ac:dyDescent="0.2">
      <c r="A15" s="16"/>
      <c r="B15" s="16"/>
      <c r="C15" s="16"/>
      <c r="D15" s="16"/>
      <c r="E15" s="3" t="s">
        <v>28</v>
      </c>
      <c r="F15" s="16"/>
      <c r="G15" s="19"/>
    </row>
    <row r="16" spans="1:7" x14ac:dyDescent="0.2">
      <c r="A16" s="16"/>
      <c r="B16" s="16"/>
      <c r="C16" s="16"/>
      <c r="D16" s="16"/>
      <c r="E16" s="3" t="s">
        <v>29</v>
      </c>
      <c r="F16" s="16"/>
      <c r="G16" s="19"/>
    </row>
    <row r="17" spans="1:16" x14ac:dyDescent="0.2">
      <c r="A17" s="16">
        <v>588802</v>
      </c>
      <c r="B17" s="16" t="s">
        <v>32</v>
      </c>
      <c r="C17" s="16" t="s">
        <v>6</v>
      </c>
      <c r="D17" s="16" t="s">
        <v>33</v>
      </c>
      <c r="E17" s="2"/>
      <c r="F17" s="16" t="s">
        <v>36</v>
      </c>
      <c r="G17" s="19" t="s">
        <v>38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">
      <c r="A18" s="16"/>
      <c r="B18" s="16"/>
      <c r="C18" s="16"/>
      <c r="D18" s="16"/>
      <c r="E18" s="3" t="s">
        <v>34</v>
      </c>
      <c r="F18" s="16"/>
      <c r="G18" s="19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">
      <c r="A19" s="16"/>
      <c r="B19" s="16"/>
      <c r="C19" s="16"/>
      <c r="D19" s="16"/>
      <c r="E19" s="3" t="s">
        <v>35</v>
      </c>
      <c r="F19" s="16"/>
      <c r="G19" s="19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">
      <c r="A20" s="17">
        <v>597077</v>
      </c>
      <c r="B20" s="18" t="s">
        <v>39</v>
      </c>
      <c r="C20" s="18" t="s">
        <v>6</v>
      </c>
      <c r="D20" s="18" t="s">
        <v>43</v>
      </c>
      <c r="E20" s="3" t="s">
        <v>48</v>
      </c>
      <c r="F20" s="16" t="s">
        <v>50</v>
      </c>
      <c r="G20" s="15" t="s">
        <v>38</v>
      </c>
    </row>
    <row r="21" spans="1:16" x14ac:dyDescent="0.2">
      <c r="A21" s="17"/>
      <c r="B21" s="18"/>
      <c r="C21" s="18"/>
      <c r="D21" s="18"/>
      <c r="E21" s="3" t="s">
        <v>49</v>
      </c>
      <c r="F21" s="16"/>
      <c r="G21" s="15"/>
    </row>
    <row r="22" spans="1:16" x14ac:dyDescent="0.2">
      <c r="A22" s="5">
        <v>597078</v>
      </c>
      <c r="B22" s="1" t="s">
        <v>40</v>
      </c>
      <c r="C22" s="1" t="s">
        <v>6</v>
      </c>
      <c r="D22" s="1" t="s">
        <v>44</v>
      </c>
      <c r="E22" s="1" t="s">
        <v>51</v>
      </c>
      <c r="F22" s="1" t="s">
        <v>52</v>
      </c>
      <c r="G22" s="6" t="s">
        <v>38</v>
      </c>
    </row>
    <row r="23" spans="1:16" x14ac:dyDescent="0.2">
      <c r="A23" s="18">
        <v>597079</v>
      </c>
      <c r="B23" s="18" t="s">
        <v>41</v>
      </c>
      <c r="C23" s="18" t="s">
        <v>45</v>
      </c>
      <c r="D23" s="18" t="s">
        <v>46</v>
      </c>
      <c r="E23" s="3" t="s">
        <v>53</v>
      </c>
      <c r="F23" s="16" t="s">
        <v>18</v>
      </c>
      <c r="G23" s="15" t="s">
        <v>38</v>
      </c>
    </row>
    <row r="24" spans="1:16" x14ac:dyDescent="0.2">
      <c r="A24" s="18"/>
      <c r="B24" s="18"/>
      <c r="C24" s="18"/>
      <c r="D24" s="18"/>
      <c r="E24" s="3" t="s">
        <v>54</v>
      </c>
      <c r="F24" s="16"/>
      <c r="G24" s="15"/>
    </row>
    <row r="25" spans="1:16" x14ac:dyDescent="0.2">
      <c r="A25" s="1">
        <v>597081</v>
      </c>
      <c r="B25" s="1" t="s">
        <v>42</v>
      </c>
      <c r="C25" s="1" t="s">
        <v>11</v>
      </c>
      <c r="D25" s="1" t="s">
        <v>47</v>
      </c>
      <c r="E25" s="1" t="s">
        <v>55</v>
      </c>
      <c r="F25" s="1" t="s">
        <v>24</v>
      </c>
      <c r="G25" s="6" t="s">
        <v>38</v>
      </c>
    </row>
    <row r="26" spans="1:16" x14ac:dyDescent="0.2">
      <c r="A26">
        <v>597082</v>
      </c>
      <c r="B26" t="s">
        <v>56</v>
      </c>
      <c r="C26" t="s">
        <v>11</v>
      </c>
      <c r="D26" t="s">
        <v>57</v>
      </c>
      <c r="E26" t="s">
        <v>58</v>
      </c>
      <c r="F26" s="1" t="s">
        <v>59</v>
      </c>
      <c r="G26" s="6" t="s">
        <v>38</v>
      </c>
    </row>
    <row r="27" spans="1:16" x14ac:dyDescent="0.2">
      <c r="A27" s="7">
        <v>603742</v>
      </c>
      <c r="B27" s="8" t="s">
        <v>60</v>
      </c>
      <c r="C27" s="8" t="s">
        <v>11</v>
      </c>
      <c r="D27" s="8" t="s">
        <v>68</v>
      </c>
      <c r="E27" s="8" t="s">
        <v>69</v>
      </c>
      <c r="F27" s="8" t="s">
        <v>92</v>
      </c>
      <c r="G27" s="6" t="s">
        <v>38</v>
      </c>
    </row>
    <row r="28" spans="1:16" ht="29" x14ac:dyDescent="0.2">
      <c r="A28" s="21" t="s">
        <v>93</v>
      </c>
      <c r="B28" s="20" t="s">
        <v>61</v>
      </c>
      <c r="C28" s="8" t="s">
        <v>11</v>
      </c>
      <c r="D28" s="8" t="s">
        <v>70</v>
      </c>
      <c r="E28" s="9" t="s">
        <v>71</v>
      </c>
      <c r="F28" s="20" t="s">
        <v>94</v>
      </c>
      <c r="G28" s="6" t="s">
        <v>38</v>
      </c>
    </row>
    <row r="29" spans="1:16" ht="29" x14ac:dyDescent="0.2">
      <c r="A29" s="21"/>
      <c r="B29" s="20"/>
      <c r="C29" s="8"/>
      <c r="D29" s="8"/>
      <c r="E29" s="9" t="s">
        <v>72</v>
      </c>
      <c r="F29" s="20"/>
      <c r="G29" s="6" t="s">
        <v>38</v>
      </c>
    </row>
    <row r="30" spans="1:16" ht="29" x14ac:dyDescent="0.2">
      <c r="A30" s="21" t="s">
        <v>95</v>
      </c>
      <c r="B30" s="20" t="s">
        <v>62</v>
      </c>
      <c r="C30" s="8" t="s">
        <v>11</v>
      </c>
      <c r="D30" s="8" t="s">
        <v>73</v>
      </c>
      <c r="E30" s="9" t="s">
        <v>74</v>
      </c>
      <c r="F30" s="20" t="s">
        <v>96</v>
      </c>
      <c r="G30" s="6" t="s">
        <v>38</v>
      </c>
    </row>
    <row r="31" spans="1:16" ht="29" x14ac:dyDescent="0.2">
      <c r="A31" s="21"/>
      <c r="B31" s="20"/>
      <c r="C31" s="8"/>
      <c r="D31" s="8"/>
      <c r="E31" s="9" t="s">
        <v>75</v>
      </c>
      <c r="F31" s="20"/>
      <c r="G31" s="6" t="s">
        <v>38</v>
      </c>
    </row>
    <row r="32" spans="1:16" x14ac:dyDescent="0.2">
      <c r="A32" s="21" t="s">
        <v>97</v>
      </c>
      <c r="B32" s="20" t="s">
        <v>63</v>
      </c>
      <c r="C32" s="8" t="s">
        <v>11</v>
      </c>
      <c r="D32" s="8" t="s">
        <v>76</v>
      </c>
      <c r="E32" s="9" t="s">
        <v>77</v>
      </c>
      <c r="F32" s="20" t="s">
        <v>98</v>
      </c>
      <c r="G32" s="6" t="s">
        <v>38</v>
      </c>
    </row>
    <row r="33" spans="1:30" ht="29" x14ac:dyDescent="0.2">
      <c r="A33" s="21"/>
      <c r="B33" s="20"/>
      <c r="C33" s="8"/>
      <c r="D33" s="8"/>
      <c r="E33" s="9" t="s">
        <v>78</v>
      </c>
      <c r="F33" s="20"/>
      <c r="G33" s="6" t="s">
        <v>38</v>
      </c>
    </row>
    <row r="34" spans="1:30" ht="29" x14ac:dyDescent="0.2">
      <c r="A34" s="21" t="s">
        <v>99</v>
      </c>
      <c r="B34" s="20" t="s">
        <v>64</v>
      </c>
      <c r="C34" s="8" t="s">
        <v>11</v>
      </c>
      <c r="D34" s="8" t="s">
        <v>79</v>
      </c>
      <c r="E34" s="9" t="s">
        <v>80</v>
      </c>
      <c r="F34" s="20" t="s">
        <v>100</v>
      </c>
      <c r="G34" s="6" t="s">
        <v>38</v>
      </c>
    </row>
    <row r="35" spans="1:30" ht="29" x14ac:dyDescent="0.2">
      <c r="A35" s="21"/>
      <c r="B35" s="20"/>
      <c r="C35" s="8"/>
      <c r="D35" s="8"/>
      <c r="E35" s="9" t="s">
        <v>81</v>
      </c>
      <c r="F35" s="20"/>
      <c r="G35" s="6" t="s">
        <v>38</v>
      </c>
    </row>
    <row r="36" spans="1:30" x14ac:dyDescent="0.2">
      <c r="A36" s="7" t="s">
        <v>101</v>
      </c>
      <c r="B36" s="8" t="s">
        <v>65</v>
      </c>
      <c r="C36" s="8" t="s">
        <v>6</v>
      </c>
      <c r="D36" s="8" t="s">
        <v>82</v>
      </c>
      <c r="E36" s="8" t="s">
        <v>83</v>
      </c>
      <c r="F36" s="8" t="s">
        <v>102</v>
      </c>
      <c r="G36" s="6" t="s">
        <v>38</v>
      </c>
    </row>
    <row r="37" spans="1:30" x14ac:dyDescent="0.2">
      <c r="A37" s="21" t="s">
        <v>103</v>
      </c>
      <c r="B37" s="20" t="s">
        <v>66</v>
      </c>
      <c r="C37" s="8" t="s">
        <v>6</v>
      </c>
      <c r="D37" s="8" t="s">
        <v>84</v>
      </c>
      <c r="E37" s="9" t="s">
        <v>85</v>
      </c>
      <c r="F37" s="20" t="s">
        <v>104</v>
      </c>
      <c r="G37" s="6" t="s">
        <v>38</v>
      </c>
    </row>
    <row r="38" spans="1:30" ht="29" x14ac:dyDescent="0.2">
      <c r="A38" s="21"/>
      <c r="B38" s="20"/>
      <c r="C38" s="8"/>
      <c r="D38" s="8"/>
      <c r="E38" s="9" t="s">
        <v>86</v>
      </c>
      <c r="F38" s="20"/>
      <c r="G38" s="6" t="s">
        <v>38</v>
      </c>
    </row>
    <row r="39" spans="1:30" x14ac:dyDescent="0.2">
      <c r="A39" s="21"/>
      <c r="B39" s="20"/>
      <c r="C39" s="8"/>
      <c r="D39" s="8"/>
      <c r="E39" s="9" t="s">
        <v>87</v>
      </c>
      <c r="F39" s="20"/>
      <c r="G39" s="6" t="s">
        <v>38</v>
      </c>
    </row>
    <row r="40" spans="1:30" ht="29" x14ac:dyDescent="0.2">
      <c r="A40" s="21"/>
      <c r="B40" s="20"/>
      <c r="C40" s="8"/>
      <c r="D40" s="8"/>
      <c r="E40" s="9" t="s">
        <v>88</v>
      </c>
      <c r="F40" s="20"/>
      <c r="G40" s="6" t="s">
        <v>38</v>
      </c>
    </row>
    <row r="41" spans="1:30" x14ac:dyDescent="0.2">
      <c r="A41" s="21">
        <v>603735</v>
      </c>
      <c r="B41" s="20" t="s">
        <v>67</v>
      </c>
      <c r="C41" s="8" t="s">
        <v>6</v>
      </c>
      <c r="D41" s="8" t="s">
        <v>89</v>
      </c>
      <c r="E41" s="9" t="s">
        <v>90</v>
      </c>
      <c r="F41" s="20" t="s">
        <v>9</v>
      </c>
      <c r="G41" s="6" t="s">
        <v>38</v>
      </c>
    </row>
    <row r="42" spans="1:30" s="14" customFormat="1" ht="28" x14ac:dyDescent="0.2">
      <c r="A42" s="21"/>
      <c r="B42" s="20"/>
      <c r="C42" s="11"/>
      <c r="D42" s="11"/>
      <c r="E42" s="12" t="s">
        <v>91</v>
      </c>
      <c r="F42" s="20"/>
      <c r="G42" s="13" t="s">
        <v>38</v>
      </c>
    </row>
    <row r="43" spans="1:30" ht="136" x14ac:dyDescent="0.2">
      <c r="A43">
        <v>621084</v>
      </c>
      <c r="B43" t="s">
        <v>119</v>
      </c>
      <c r="C43" t="s">
        <v>11</v>
      </c>
      <c r="D43" t="s">
        <v>120</v>
      </c>
      <c r="E43" s="2" t="s">
        <v>121</v>
      </c>
      <c r="F43" t="s">
        <v>122</v>
      </c>
      <c r="G43" s="13" t="s">
        <v>38</v>
      </c>
      <c r="O43" s="10"/>
    </row>
    <row r="44" spans="1:30" ht="136" x14ac:dyDescent="0.2">
      <c r="A44">
        <v>621083</v>
      </c>
      <c r="B44" t="s">
        <v>123</v>
      </c>
      <c r="C44" t="s">
        <v>11</v>
      </c>
      <c r="D44" t="s">
        <v>124</v>
      </c>
      <c r="E44" s="2" t="s">
        <v>125</v>
      </c>
      <c r="F44" t="s">
        <v>126</v>
      </c>
      <c r="G44" s="13" t="s">
        <v>38</v>
      </c>
      <c r="O44" s="10"/>
    </row>
    <row r="45" spans="1:30" x14ac:dyDescent="0.2">
      <c r="A45" t="s">
        <v>127</v>
      </c>
      <c r="B45" t="s">
        <v>128</v>
      </c>
      <c r="C45" t="s">
        <v>129</v>
      </c>
      <c r="D45" t="s">
        <v>129</v>
      </c>
      <c r="E45" t="s">
        <v>129</v>
      </c>
      <c r="F45" t="s">
        <v>129</v>
      </c>
      <c r="G45" s="13" t="s">
        <v>38</v>
      </c>
      <c r="H45" t="s">
        <v>129</v>
      </c>
      <c r="I45" t="s">
        <v>129</v>
      </c>
      <c r="J45" t="s">
        <v>129</v>
      </c>
      <c r="K45" t="s">
        <v>129</v>
      </c>
      <c r="L45" t="s">
        <v>129</v>
      </c>
      <c r="M45" t="s">
        <v>129</v>
      </c>
      <c r="N45" t="s">
        <v>129</v>
      </c>
      <c r="P45" s="2"/>
      <c r="U45" s="2"/>
      <c r="AD45" s="10"/>
    </row>
    <row r="46" spans="1:30" ht="102" x14ac:dyDescent="0.2">
      <c r="A46">
        <v>621080</v>
      </c>
      <c r="B46" t="s">
        <v>132</v>
      </c>
      <c r="C46" t="s">
        <v>45</v>
      </c>
      <c r="D46" t="s">
        <v>133</v>
      </c>
      <c r="E46" s="2" t="s">
        <v>134</v>
      </c>
      <c r="F46" t="s">
        <v>135</v>
      </c>
      <c r="G46" s="13" t="s">
        <v>38</v>
      </c>
      <c r="O46" s="10"/>
    </row>
    <row r="47" spans="1:30" ht="102" x14ac:dyDescent="0.2">
      <c r="A47">
        <v>621079</v>
      </c>
      <c r="B47" t="s">
        <v>136</v>
      </c>
      <c r="C47" t="s">
        <v>11</v>
      </c>
      <c r="D47" t="s">
        <v>137</v>
      </c>
      <c r="E47" s="2" t="s">
        <v>138</v>
      </c>
      <c r="F47" t="s">
        <v>24</v>
      </c>
      <c r="G47" s="13" t="s">
        <v>38</v>
      </c>
      <c r="O47" s="10"/>
    </row>
    <row r="48" spans="1:30" ht="102" x14ac:dyDescent="0.2">
      <c r="A48">
        <v>621078</v>
      </c>
      <c r="B48" t="s">
        <v>139</v>
      </c>
      <c r="C48" t="s">
        <v>11</v>
      </c>
      <c r="D48" t="s">
        <v>140</v>
      </c>
      <c r="E48" s="2" t="s">
        <v>141</v>
      </c>
      <c r="F48" t="s">
        <v>142</v>
      </c>
      <c r="G48" s="13" t="s">
        <v>38</v>
      </c>
      <c r="O48" s="10"/>
    </row>
    <row r="49" spans="1:15" ht="68" x14ac:dyDescent="0.2">
      <c r="A49">
        <v>621077</v>
      </c>
      <c r="B49" t="s">
        <v>143</v>
      </c>
      <c r="C49" t="s">
        <v>11</v>
      </c>
      <c r="D49" t="s">
        <v>144</v>
      </c>
      <c r="E49" s="2" t="s">
        <v>145</v>
      </c>
      <c r="F49" t="s">
        <v>146</v>
      </c>
      <c r="G49" s="13" t="s">
        <v>38</v>
      </c>
      <c r="O49" s="10"/>
    </row>
    <row r="50" spans="1:15" ht="102" x14ac:dyDescent="0.2">
      <c r="A50">
        <v>621076</v>
      </c>
      <c r="B50" t="s">
        <v>147</v>
      </c>
      <c r="C50" t="s">
        <v>11</v>
      </c>
      <c r="D50" t="s">
        <v>148</v>
      </c>
      <c r="E50" s="2" t="s">
        <v>149</v>
      </c>
      <c r="F50" t="s">
        <v>150</v>
      </c>
      <c r="G50" s="13" t="s">
        <v>38</v>
      </c>
      <c r="O50" s="10"/>
    </row>
    <row r="51" spans="1:15" ht="136" x14ac:dyDescent="0.2">
      <c r="A51">
        <v>621075</v>
      </c>
      <c r="B51" t="s">
        <v>151</v>
      </c>
      <c r="C51" t="s">
        <v>108</v>
      </c>
      <c r="D51" t="s">
        <v>130</v>
      </c>
      <c r="E51" s="2" t="s">
        <v>131</v>
      </c>
      <c r="F51" t="s">
        <v>152</v>
      </c>
      <c r="G51" s="13" t="s">
        <v>38</v>
      </c>
      <c r="O51" s="10"/>
    </row>
    <row r="52" spans="1:15" ht="170" x14ac:dyDescent="0.2">
      <c r="A52">
        <v>621074</v>
      </c>
      <c r="B52" t="s">
        <v>153</v>
      </c>
      <c r="C52" t="s">
        <v>108</v>
      </c>
      <c r="D52" t="s">
        <v>154</v>
      </c>
      <c r="E52" s="2" t="s">
        <v>155</v>
      </c>
      <c r="F52" t="s">
        <v>126</v>
      </c>
      <c r="G52" s="13" t="s">
        <v>38</v>
      </c>
      <c r="O52" s="10"/>
    </row>
    <row r="53" spans="1:15" ht="136" x14ac:dyDescent="0.2">
      <c r="A53">
        <v>621073</v>
      </c>
      <c r="B53" t="s">
        <v>156</v>
      </c>
      <c r="C53" t="s">
        <v>108</v>
      </c>
      <c r="D53" t="s">
        <v>157</v>
      </c>
      <c r="E53" s="2" t="s">
        <v>158</v>
      </c>
      <c r="F53" t="s">
        <v>150</v>
      </c>
      <c r="G53" s="13" t="s">
        <v>38</v>
      </c>
      <c r="O53" s="10"/>
    </row>
    <row r="54" spans="1:15" ht="136" x14ac:dyDescent="0.2">
      <c r="A54">
        <v>621072</v>
      </c>
      <c r="B54" t="s">
        <v>115</v>
      </c>
      <c r="C54" t="s">
        <v>108</v>
      </c>
      <c r="D54" t="s">
        <v>116</v>
      </c>
      <c r="E54" s="2" t="s">
        <v>117</v>
      </c>
      <c r="F54" t="s">
        <v>118</v>
      </c>
      <c r="G54" s="13" t="s">
        <v>38</v>
      </c>
      <c r="O54" s="10"/>
    </row>
    <row r="55" spans="1:15" ht="68" x14ac:dyDescent="0.2">
      <c r="A55">
        <v>621071</v>
      </c>
      <c r="B55" t="s">
        <v>111</v>
      </c>
      <c r="C55" t="s">
        <v>108</v>
      </c>
      <c r="D55" t="s">
        <v>112</v>
      </c>
      <c r="E55" s="2" t="s">
        <v>113</v>
      </c>
      <c r="F55" t="s">
        <v>114</v>
      </c>
      <c r="G55" s="13" t="s">
        <v>38</v>
      </c>
      <c r="O55" s="10"/>
    </row>
    <row r="56" spans="1:15" ht="136" x14ac:dyDescent="0.2">
      <c r="A56">
        <v>621070</v>
      </c>
      <c r="B56" t="s">
        <v>107</v>
      </c>
      <c r="C56" t="s">
        <v>108</v>
      </c>
      <c r="D56" t="s">
        <v>109</v>
      </c>
      <c r="E56" s="2" t="s">
        <v>110</v>
      </c>
      <c r="F56" t="s">
        <v>24</v>
      </c>
      <c r="G56" s="13" t="s">
        <v>38</v>
      </c>
      <c r="O56" s="10"/>
    </row>
    <row r="57" spans="1:15" ht="136" x14ac:dyDescent="0.2">
      <c r="A57">
        <v>621081</v>
      </c>
      <c r="B57" t="s">
        <v>159</v>
      </c>
      <c r="C57" t="s">
        <v>11</v>
      </c>
      <c r="D57" t="s">
        <v>130</v>
      </c>
      <c r="E57" s="2" t="s">
        <v>131</v>
      </c>
      <c r="F57" t="s">
        <v>160</v>
      </c>
      <c r="G57" s="13" t="s">
        <v>38</v>
      </c>
      <c r="O57" s="10"/>
    </row>
    <row r="58" spans="1:15" ht="136" x14ac:dyDescent="0.2">
      <c r="A58">
        <v>638192</v>
      </c>
      <c r="B58" t="s">
        <v>169</v>
      </c>
      <c r="C58" t="s">
        <v>11</v>
      </c>
      <c r="D58" t="s">
        <v>157</v>
      </c>
      <c r="E58" s="2" t="s">
        <v>158</v>
      </c>
      <c r="F58" t="s">
        <v>150</v>
      </c>
      <c r="G58" s="13" t="s">
        <v>38</v>
      </c>
    </row>
    <row r="59" spans="1:15" ht="68" x14ac:dyDescent="0.2">
      <c r="A59">
        <v>638191</v>
      </c>
      <c r="B59" t="s">
        <v>170</v>
      </c>
      <c r="C59" t="s">
        <v>11</v>
      </c>
      <c r="D59" t="s">
        <v>7</v>
      </c>
      <c r="E59" s="2" t="s">
        <v>204</v>
      </c>
      <c r="F59" t="s">
        <v>30</v>
      </c>
      <c r="G59" s="13" t="s">
        <v>38</v>
      </c>
    </row>
    <row r="60" spans="1:15" ht="136" x14ac:dyDescent="0.2">
      <c r="A60">
        <v>638190</v>
      </c>
      <c r="B60" t="s">
        <v>171</v>
      </c>
      <c r="C60" t="s">
        <v>11</v>
      </c>
      <c r="D60" t="s">
        <v>188</v>
      </c>
      <c r="E60" s="2" t="s">
        <v>205</v>
      </c>
      <c r="F60" t="s">
        <v>24</v>
      </c>
      <c r="G60" s="13" t="s">
        <v>38</v>
      </c>
    </row>
    <row r="61" spans="1:15" ht="68" x14ac:dyDescent="0.2">
      <c r="A61">
        <v>638189</v>
      </c>
      <c r="B61" t="s">
        <v>172</v>
      </c>
      <c r="C61" t="s">
        <v>11</v>
      </c>
      <c r="D61" t="s">
        <v>189</v>
      </c>
      <c r="E61" s="2" t="s">
        <v>206</v>
      </c>
      <c r="F61" t="s">
        <v>200</v>
      </c>
      <c r="G61" s="13" t="s">
        <v>38</v>
      </c>
    </row>
    <row r="62" spans="1:15" ht="68" x14ac:dyDescent="0.2">
      <c r="A62">
        <v>638188</v>
      </c>
      <c r="B62" t="s">
        <v>173</v>
      </c>
      <c r="C62" t="s">
        <v>11</v>
      </c>
      <c r="D62" t="s">
        <v>16</v>
      </c>
      <c r="E62" s="2" t="s">
        <v>207</v>
      </c>
      <c r="F62" t="s">
        <v>142</v>
      </c>
      <c r="G62" s="13" t="s">
        <v>38</v>
      </c>
    </row>
    <row r="63" spans="1:15" ht="102" x14ac:dyDescent="0.2">
      <c r="A63">
        <v>638187</v>
      </c>
      <c r="B63" t="s">
        <v>174</v>
      </c>
      <c r="C63" t="s">
        <v>11</v>
      </c>
      <c r="D63" t="s">
        <v>190</v>
      </c>
      <c r="E63" s="2" t="s">
        <v>208</v>
      </c>
      <c r="F63" t="s">
        <v>201</v>
      </c>
      <c r="G63" s="13" t="s">
        <v>38</v>
      </c>
    </row>
    <row r="64" spans="1:15" x14ac:dyDescent="0.2">
      <c r="A64" t="s">
        <v>175</v>
      </c>
      <c r="B64" t="s">
        <v>176</v>
      </c>
      <c r="C64" t="s">
        <v>129</v>
      </c>
      <c r="D64" t="s">
        <v>129</v>
      </c>
      <c r="E64" t="s">
        <v>129</v>
      </c>
      <c r="F64" t="s">
        <v>129</v>
      </c>
      <c r="G64" s="13" t="s">
        <v>38</v>
      </c>
    </row>
    <row r="65" spans="1:7" ht="68" x14ac:dyDescent="0.2">
      <c r="A65">
        <v>638184</v>
      </c>
      <c r="B65" t="s">
        <v>177</v>
      </c>
      <c r="C65" t="s">
        <v>11</v>
      </c>
      <c r="D65" t="s">
        <v>191</v>
      </c>
      <c r="E65" s="2" t="s">
        <v>209</v>
      </c>
      <c r="F65" t="s">
        <v>59</v>
      </c>
      <c r="G65" s="13" t="s">
        <v>38</v>
      </c>
    </row>
    <row r="66" spans="1:7" ht="68" x14ac:dyDescent="0.2">
      <c r="A66">
        <v>638183</v>
      </c>
      <c r="B66" t="s">
        <v>178</v>
      </c>
      <c r="C66" t="s">
        <v>11</v>
      </c>
      <c r="D66" t="s">
        <v>192</v>
      </c>
      <c r="E66" s="2" t="s">
        <v>210</v>
      </c>
      <c r="F66" t="s">
        <v>50</v>
      </c>
      <c r="G66" s="13" t="s">
        <v>38</v>
      </c>
    </row>
    <row r="67" spans="1:7" ht="68" x14ac:dyDescent="0.2">
      <c r="A67">
        <v>638182</v>
      </c>
      <c r="B67" t="s">
        <v>179</v>
      </c>
      <c r="C67" t="s">
        <v>11</v>
      </c>
      <c r="D67" t="s">
        <v>193</v>
      </c>
      <c r="E67" s="2" t="s">
        <v>211</v>
      </c>
      <c r="F67" t="s">
        <v>202</v>
      </c>
      <c r="G67" s="13" t="s">
        <v>38</v>
      </c>
    </row>
    <row r="68" spans="1:7" ht="102" x14ac:dyDescent="0.2">
      <c r="A68">
        <v>638181</v>
      </c>
      <c r="B68" t="s">
        <v>180</v>
      </c>
      <c r="C68" t="s">
        <v>108</v>
      </c>
      <c r="D68" t="s">
        <v>194</v>
      </c>
      <c r="E68" s="2" t="s">
        <v>212</v>
      </c>
      <c r="F68" t="s">
        <v>160</v>
      </c>
      <c r="G68" s="13" t="s">
        <v>38</v>
      </c>
    </row>
    <row r="69" spans="1:7" ht="102" x14ac:dyDescent="0.2">
      <c r="A69">
        <v>638180</v>
      </c>
      <c r="B69" t="s">
        <v>181</v>
      </c>
      <c r="C69" t="s">
        <v>108</v>
      </c>
      <c r="D69" t="s">
        <v>195</v>
      </c>
      <c r="E69" s="2" t="s">
        <v>213</v>
      </c>
      <c r="F69" t="s">
        <v>9</v>
      </c>
      <c r="G69" s="13" t="s">
        <v>38</v>
      </c>
    </row>
    <row r="70" spans="1:7" ht="136" x14ac:dyDescent="0.2">
      <c r="A70">
        <v>638179</v>
      </c>
      <c r="B70" t="s">
        <v>182</v>
      </c>
      <c r="C70" t="s">
        <v>108</v>
      </c>
      <c r="D70" t="s">
        <v>196</v>
      </c>
      <c r="E70" s="2" t="s">
        <v>214</v>
      </c>
      <c r="F70" t="s">
        <v>24</v>
      </c>
      <c r="G70" s="13" t="s">
        <v>38</v>
      </c>
    </row>
    <row r="71" spans="1:7" ht="68" x14ac:dyDescent="0.2">
      <c r="A71">
        <v>638178</v>
      </c>
      <c r="B71" t="s">
        <v>183</v>
      </c>
      <c r="C71" t="s">
        <v>108</v>
      </c>
      <c r="D71" t="s">
        <v>192</v>
      </c>
      <c r="E71" s="2" t="s">
        <v>210</v>
      </c>
      <c r="F71" t="s">
        <v>114</v>
      </c>
      <c r="G71" s="13" t="s">
        <v>38</v>
      </c>
    </row>
    <row r="72" spans="1:7" ht="136" x14ac:dyDescent="0.2">
      <c r="A72">
        <v>638177</v>
      </c>
      <c r="B72" t="s">
        <v>184</v>
      </c>
      <c r="C72" t="s">
        <v>108</v>
      </c>
      <c r="D72" t="s">
        <v>197</v>
      </c>
      <c r="E72" s="2" t="s">
        <v>215</v>
      </c>
      <c r="F72" t="s">
        <v>152</v>
      </c>
      <c r="G72" s="13" t="s">
        <v>38</v>
      </c>
    </row>
    <row r="73" spans="1:7" ht="68" x14ac:dyDescent="0.2">
      <c r="A73">
        <v>638176</v>
      </c>
      <c r="B73" t="s">
        <v>185</v>
      </c>
      <c r="C73" t="s">
        <v>108</v>
      </c>
      <c r="D73" t="s">
        <v>198</v>
      </c>
      <c r="E73" s="2" t="s">
        <v>216</v>
      </c>
      <c r="F73" t="s">
        <v>50</v>
      </c>
      <c r="G73" s="13" t="s">
        <v>38</v>
      </c>
    </row>
    <row r="74" spans="1:7" ht="102" x14ac:dyDescent="0.2">
      <c r="A74" t="s">
        <v>186</v>
      </c>
      <c r="B74" t="s">
        <v>187</v>
      </c>
      <c r="C74" t="s">
        <v>11</v>
      </c>
      <c r="D74" t="s">
        <v>199</v>
      </c>
      <c r="E74" s="2" t="s">
        <v>217</v>
      </c>
      <c r="F74" t="s">
        <v>203</v>
      </c>
      <c r="G74" s="13" t="s">
        <v>38</v>
      </c>
    </row>
    <row r="75" spans="1:7" ht="51" x14ac:dyDescent="0.2">
      <c r="A75">
        <v>647782</v>
      </c>
      <c r="B75" t="s">
        <v>218</v>
      </c>
      <c r="C75" t="s">
        <v>219</v>
      </c>
      <c r="D75" t="s">
        <v>220</v>
      </c>
      <c r="E75" s="2" t="s">
        <v>221</v>
      </c>
      <c r="F75" t="s">
        <v>102</v>
      </c>
      <c r="G75" s="13" t="s">
        <v>38</v>
      </c>
    </row>
    <row r="76" spans="1:7" ht="17" x14ac:dyDescent="0.2">
      <c r="A76">
        <v>647783</v>
      </c>
      <c r="B76" t="s">
        <v>222</v>
      </c>
      <c r="C76" t="s">
        <v>219</v>
      </c>
      <c r="D76" t="s">
        <v>223</v>
      </c>
      <c r="E76" s="2" t="s">
        <v>224</v>
      </c>
      <c r="F76" t="s">
        <v>18</v>
      </c>
      <c r="G76" s="13" t="s">
        <v>38</v>
      </c>
    </row>
    <row r="77" spans="1:7" ht="51" x14ac:dyDescent="0.2">
      <c r="A77">
        <v>647784</v>
      </c>
      <c r="B77" t="s">
        <v>225</v>
      </c>
      <c r="C77" t="s">
        <v>219</v>
      </c>
      <c r="D77" t="s">
        <v>226</v>
      </c>
      <c r="E77" s="2" t="s">
        <v>227</v>
      </c>
      <c r="F77" t="s">
        <v>18</v>
      </c>
      <c r="G77" s="13" t="s">
        <v>38</v>
      </c>
    </row>
    <row r="78" spans="1:7" ht="17" x14ac:dyDescent="0.2">
      <c r="A78">
        <v>647785</v>
      </c>
      <c r="B78" t="s">
        <v>228</v>
      </c>
      <c r="C78" t="s">
        <v>219</v>
      </c>
      <c r="D78" t="s">
        <v>229</v>
      </c>
      <c r="E78" s="2" t="s">
        <v>230</v>
      </c>
      <c r="F78" t="s">
        <v>231</v>
      </c>
      <c r="G78" s="13" t="s">
        <v>38</v>
      </c>
    </row>
    <row r="79" spans="1:7" ht="17" x14ac:dyDescent="0.2">
      <c r="A79">
        <v>647786</v>
      </c>
      <c r="B79" t="s">
        <v>232</v>
      </c>
      <c r="C79" t="s">
        <v>219</v>
      </c>
      <c r="D79" t="s">
        <v>233</v>
      </c>
      <c r="E79" s="2" t="s">
        <v>234</v>
      </c>
      <c r="F79" t="s">
        <v>235</v>
      </c>
      <c r="G79" s="13" t="s">
        <v>38</v>
      </c>
    </row>
    <row r="80" spans="1:7" ht="51" x14ac:dyDescent="0.2">
      <c r="A80">
        <v>647787</v>
      </c>
      <c r="B80" t="s">
        <v>236</v>
      </c>
      <c r="C80" t="s">
        <v>219</v>
      </c>
      <c r="D80" t="s">
        <v>237</v>
      </c>
      <c r="E80" s="2" t="s">
        <v>238</v>
      </c>
      <c r="F80" t="s">
        <v>126</v>
      </c>
      <c r="G80" s="13" t="s">
        <v>38</v>
      </c>
    </row>
    <row r="81" spans="1:7" ht="17" x14ac:dyDescent="0.2">
      <c r="A81">
        <v>647788</v>
      </c>
      <c r="B81" t="s">
        <v>239</v>
      </c>
      <c r="C81" t="s">
        <v>240</v>
      </c>
      <c r="D81" t="s">
        <v>241</v>
      </c>
      <c r="E81" s="2" t="s">
        <v>242</v>
      </c>
      <c r="F81" t="s">
        <v>142</v>
      </c>
      <c r="G81" s="13" t="s">
        <v>38</v>
      </c>
    </row>
    <row r="82" spans="1:7" ht="17" x14ac:dyDescent="0.2">
      <c r="A82">
        <v>647789</v>
      </c>
      <c r="B82" t="s">
        <v>243</v>
      </c>
      <c r="C82" t="s">
        <v>244</v>
      </c>
      <c r="D82" t="s">
        <v>245</v>
      </c>
      <c r="E82" s="2" t="s">
        <v>246</v>
      </c>
      <c r="F82" t="s">
        <v>52</v>
      </c>
      <c r="G82" s="13" t="s">
        <v>38</v>
      </c>
    </row>
    <row r="83" spans="1:7" ht="34" x14ac:dyDescent="0.2">
      <c r="A83">
        <v>647790</v>
      </c>
      <c r="B83" t="s">
        <v>247</v>
      </c>
      <c r="C83" t="s">
        <v>244</v>
      </c>
      <c r="D83" t="s">
        <v>248</v>
      </c>
      <c r="E83" s="2" t="s">
        <v>249</v>
      </c>
      <c r="F83" t="s">
        <v>235</v>
      </c>
      <c r="G83" s="13" t="s">
        <v>38</v>
      </c>
    </row>
    <row r="84" spans="1:7" ht="34" x14ac:dyDescent="0.2">
      <c r="A84">
        <v>711720</v>
      </c>
      <c r="B84" t="s">
        <v>251</v>
      </c>
      <c r="C84" t="s">
        <v>219</v>
      </c>
      <c r="D84" t="s">
        <v>250</v>
      </c>
      <c r="E84" s="2" t="s">
        <v>256</v>
      </c>
      <c r="F84" t="s">
        <v>261</v>
      </c>
      <c r="G84" s="13" t="s">
        <v>38</v>
      </c>
    </row>
    <row r="85" spans="1:7" ht="51" x14ac:dyDescent="0.2">
      <c r="A85">
        <v>711721</v>
      </c>
      <c r="B85" t="s">
        <v>252</v>
      </c>
      <c r="C85" t="s">
        <v>219</v>
      </c>
      <c r="D85" t="s">
        <v>254</v>
      </c>
      <c r="E85" s="2" t="s">
        <v>257</v>
      </c>
      <c r="F85" t="s">
        <v>260</v>
      </c>
      <c r="G85" s="13" t="s">
        <v>38</v>
      </c>
    </row>
    <row r="86" spans="1:7" ht="17" x14ac:dyDescent="0.2">
      <c r="A86">
        <v>711722</v>
      </c>
      <c r="B86" t="s">
        <v>253</v>
      </c>
      <c r="C86" t="s">
        <v>219</v>
      </c>
      <c r="D86" t="s">
        <v>255</v>
      </c>
      <c r="E86" s="2" t="s">
        <v>258</v>
      </c>
      <c r="F86" t="s">
        <v>259</v>
      </c>
      <c r="G86" s="13" t="s">
        <v>38</v>
      </c>
    </row>
  </sheetData>
  <mergeCells count="66">
    <mergeCell ref="F37:F40"/>
    <mergeCell ref="A41:A42"/>
    <mergeCell ref="B41:B42"/>
    <mergeCell ref="F41:F42"/>
    <mergeCell ref="F32:F33"/>
    <mergeCell ref="A34:A35"/>
    <mergeCell ref="B34:B35"/>
    <mergeCell ref="F34:F35"/>
    <mergeCell ref="A32:A33"/>
    <mergeCell ref="B32:B33"/>
    <mergeCell ref="A37:A40"/>
    <mergeCell ref="B37:B40"/>
    <mergeCell ref="F28:F29"/>
    <mergeCell ref="A30:A31"/>
    <mergeCell ref="B30:B31"/>
    <mergeCell ref="F30:F31"/>
    <mergeCell ref="A28:A29"/>
    <mergeCell ref="B28:B29"/>
    <mergeCell ref="G17:G19"/>
    <mergeCell ref="G2:G3"/>
    <mergeCell ref="G4:G6"/>
    <mergeCell ref="G7:G8"/>
    <mergeCell ref="G9:G12"/>
    <mergeCell ref="G13:G16"/>
    <mergeCell ref="A2:A3"/>
    <mergeCell ref="B2:B3"/>
    <mergeCell ref="C2:C3"/>
    <mergeCell ref="D2:D3"/>
    <mergeCell ref="F2:F3"/>
    <mergeCell ref="A4:A6"/>
    <mergeCell ref="B4:B6"/>
    <mergeCell ref="C4:C6"/>
    <mergeCell ref="D4:D6"/>
    <mergeCell ref="F4:F6"/>
    <mergeCell ref="A7:A8"/>
    <mergeCell ref="B7:B8"/>
    <mergeCell ref="C7:C8"/>
    <mergeCell ref="D7:D8"/>
    <mergeCell ref="F7:F8"/>
    <mergeCell ref="A9:A12"/>
    <mergeCell ref="B9:B12"/>
    <mergeCell ref="C9:C12"/>
    <mergeCell ref="D9:D12"/>
    <mergeCell ref="F9:F12"/>
    <mergeCell ref="A13:A16"/>
    <mergeCell ref="B13:B16"/>
    <mergeCell ref="C13:C16"/>
    <mergeCell ref="D13:D16"/>
    <mergeCell ref="F13:F16"/>
    <mergeCell ref="A17:A19"/>
    <mergeCell ref="B17:B19"/>
    <mergeCell ref="C17:C19"/>
    <mergeCell ref="D17:D19"/>
    <mergeCell ref="F17:F19"/>
    <mergeCell ref="G20:G21"/>
    <mergeCell ref="G23:G24"/>
    <mergeCell ref="F20:F21"/>
    <mergeCell ref="F23:F24"/>
    <mergeCell ref="A20:A21"/>
    <mergeCell ref="B20:B21"/>
    <mergeCell ref="C20:C21"/>
    <mergeCell ref="D20:D21"/>
    <mergeCell ref="A23:A24"/>
    <mergeCell ref="B23:B24"/>
    <mergeCell ref="C23:C24"/>
    <mergeCell ref="D23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F60C-1138-8942-BFA2-F19656A35955}">
  <dimension ref="A1:K62"/>
  <sheetViews>
    <sheetView tabSelected="1" topLeftCell="A62" zoomScale="141" zoomScaleNormal="140" workbookViewId="0">
      <selection activeCell="J73" sqref="J73"/>
    </sheetView>
  </sheetViews>
  <sheetFormatPr baseColWidth="10" defaultRowHeight="16" x14ac:dyDescent="0.2"/>
  <cols>
    <col min="1" max="1" width="13.5" bestFit="1" customWidth="1"/>
    <col min="2" max="2" width="22.33203125" bestFit="1" customWidth="1"/>
    <col min="3" max="3" width="5.33203125" bestFit="1" customWidth="1"/>
    <col min="4" max="4" width="3.1640625" bestFit="1" customWidth="1"/>
    <col min="5" max="5" width="8" bestFit="1" customWidth="1"/>
    <col min="6" max="6" width="10.1640625" bestFit="1" customWidth="1"/>
    <col min="7" max="7" width="6.5" bestFit="1" customWidth="1"/>
    <col min="8" max="8" width="11.1640625" bestFit="1" customWidth="1"/>
    <col min="9" max="9" width="9" bestFit="1" customWidth="1"/>
    <col min="10" max="10" width="12.1640625" bestFit="1" customWidth="1"/>
    <col min="11" max="11" width="21.1640625" bestFit="1" customWidth="1"/>
  </cols>
  <sheetData>
    <row r="1" spans="1:11" x14ac:dyDescent="0.2">
      <c r="A1" t="s">
        <v>265</v>
      </c>
      <c r="B1" t="s">
        <v>1</v>
      </c>
      <c r="C1" t="s">
        <v>262</v>
      </c>
      <c r="D1" t="s">
        <v>263</v>
      </c>
      <c r="E1" t="s">
        <v>264</v>
      </c>
      <c r="F1" t="s">
        <v>4</v>
      </c>
      <c r="G1" t="s">
        <v>161</v>
      </c>
      <c r="H1" t="s">
        <v>105</v>
      </c>
      <c r="I1" t="s">
        <v>162</v>
      </c>
      <c r="J1" t="s">
        <v>163</v>
      </c>
      <c r="K1" t="s">
        <v>331</v>
      </c>
    </row>
    <row r="2" spans="1:11" x14ac:dyDescent="0.2">
      <c r="A2" t="s">
        <v>266</v>
      </c>
      <c r="B2" t="s">
        <v>5</v>
      </c>
      <c r="C2">
        <v>6140</v>
      </c>
      <c r="D2">
        <v>30</v>
      </c>
      <c r="E2" t="s">
        <v>38</v>
      </c>
      <c r="F2">
        <v>-27.8</v>
      </c>
      <c r="G2">
        <f>(844+845)/2</f>
        <v>844.5</v>
      </c>
      <c r="H2" t="s">
        <v>168</v>
      </c>
      <c r="I2">
        <v>1</v>
      </c>
      <c r="J2" t="s">
        <v>104</v>
      </c>
      <c r="K2" t="s">
        <v>168</v>
      </c>
    </row>
    <row r="3" spans="1:11" x14ac:dyDescent="0.2">
      <c r="A3" t="s">
        <v>267</v>
      </c>
      <c r="B3" t="s">
        <v>10</v>
      </c>
      <c r="C3">
        <v>6180</v>
      </c>
      <c r="D3">
        <v>40</v>
      </c>
      <c r="E3" t="s">
        <v>38</v>
      </c>
      <c r="F3">
        <v>-27.8</v>
      </c>
      <c r="G3">
        <f>(844+845)/2</f>
        <v>844.5</v>
      </c>
      <c r="H3" t="s">
        <v>106</v>
      </c>
      <c r="I3">
        <v>1</v>
      </c>
      <c r="J3" t="s">
        <v>164</v>
      </c>
      <c r="K3" t="s">
        <v>327</v>
      </c>
    </row>
    <row r="4" spans="1:11" x14ac:dyDescent="0.2">
      <c r="A4" t="s">
        <v>268</v>
      </c>
      <c r="B4" t="s">
        <v>15</v>
      </c>
      <c r="C4">
        <v>6150</v>
      </c>
      <c r="D4">
        <v>30</v>
      </c>
      <c r="E4" t="s">
        <v>38</v>
      </c>
      <c r="F4">
        <v>-26.8</v>
      </c>
      <c r="G4">
        <f>(844+845)/2</f>
        <v>844.5</v>
      </c>
      <c r="H4" t="s">
        <v>106</v>
      </c>
      <c r="I4">
        <v>1</v>
      </c>
      <c r="J4" t="s">
        <v>164</v>
      </c>
      <c r="K4" t="s">
        <v>328</v>
      </c>
    </row>
    <row r="5" spans="1:11" x14ac:dyDescent="0.2">
      <c r="A5" t="s">
        <v>269</v>
      </c>
      <c r="B5" t="s">
        <v>19</v>
      </c>
      <c r="C5">
        <v>6380</v>
      </c>
      <c r="D5">
        <v>30</v>
      </c>
      <c r="E5" t="s">
        <v>38</v>
      </c>
      <c r="F5">
        <v>-27.3</v>
      </c>
      <c r="G5">
        <f>(850+851)/2</f>
        <v>850.5</v>
      </c>
      <c r="H5" t="s">
        <v>106</v>
      </c>
      <c r="I5">
        <v>1</v>
      </c>
      <c r="J5" t="s">
        <v>164</v>
      </c>
      <c r="K5" t="s">
        <v>328</v>
      </c>
    </row>
    <row r="6" spans="1:11" x14ac:dyDescent="0.2">
      <c r="A6" t="s">
        <v>270</v>
      </c>
      <c r="B6" t="s">
        <v>25</v>
      </c>
      <c r="C6">
        <v>6390</v>
      </c>
      <c r="D6">
        <v>30</v>
      </c>
      <c r="E6" t="s">
        <v>38</v>
      </c>
      <c r="F6">
        <v>-26</v>
      </c>
      <c r="G6">
        <f>(850+851)/2</f>
        <v>850.5</v>
      </c>
      <c r="H6" t="s">
        <v>106</v>
      </c>
      <c r="I6">
        <v>1</v>
      </c>
      <c r="J6" t="s">
        <v>164</v>
      </c>
      <c r="K6" t="s">
        <v>329</v>
      </c>
    </row>
    <row r="7" spans="1:11" x14ac:dyDescent="0.2">
      <c r="A7" t="s">
        <v>271</v>
      </c>
      <c r="B7" t="s">
        <v>32</v>
      </c>
      <c r="C7">
        <v>6170</v>
      </c>
      <c r="D7">
        <v>30</v>
      </c>
      <c r="E7" t="s">
        <v>38</v>
      </c>
      <c r="F7">
        <v>-27.5</v>
      </c>
      <c r="G7">
        <f>(850+851)/2</f>
        <v>850.5</v>
      </c>
      <c r="H7" t="s">
        <v>168</v>
      </c>
      <c r="I7">
        <v>1</v>
      </c>
      <c r="J7" t="s">
        <v>104</v>
      </c>
      <c r="K7" t="s">
        <v>168</v>
      </c>
    </row>
    <row r="8" spans="1:11" x14ac:dyDescent="0.2">
      <c r="A8" t="s">
        <v>272</v>
      </c>
      <c r="B8" t="s">
        <v>39</v>
      </c>
      <c r="C8">
        <v>2180</v>
      </c>
      <c r="D8">
        <v>30</v>
      </c>
      <c r="E8" t="s">
        <v>38</v>
      </c>
      <c r="F8">
        <v>-27.4</v>
      </c>
      <c r="G8">
        <f>(104+105)/2</f>
        <v>104.5</v>
      </c>
      <c r="H8" t="s">
        <v>168</v>
      </c>
      <c r="I8">
        <v>1</v>
      </c>
      <c r="J8" t="s">
        <v>104</v>
      </c>
      <c r="K8" t="s">
        <v>168</v>
      </c>
    </row>
    <row r="9" spans="1:11" x14ac:dyDescent="0.2">
      <c r="A9" t="s">
        <v>273</v>
      </c>
      <c r="B9" t="s">
        <v>40</v>
      </c>
      <c r="C9">
        <v>2190</v>
      </c>
      <c r="D9">
        <v>30</v>
      </c>
      <c r="E9" t="s">
        <v>38</v>
      </c>
      <c r="F9">
        <v>-28.3</v>
      </c>
      <c r="G9">
        <f>(104+105)/2</f>
        <v>104.5</v>
      </c>
      <c r="H9" t="s">
        <v>168</v>
      </c>
      <c r="I9">
        <v>1</v>
      </c>
      <c r="J9" t="s">
        <v>165</v>
      </c>
      <c r="K9" t="s">
        <v>168</v>
      </c>
    </row>
    <row r="10" spans="1:11" x14ac:dyDescent="0.2">
      <c r="A10" t="s">
        <v>274</v>
      </c>
      <c r="B10" t="s">
        <v>41</v>
      </c>
      <c r="C10">
        <v>2080</v>
      </c>
      <c r="D10">
        <v>30</v>
      </c>
      <c r="E10" t="s">
        <v>38</v>
      </c>
      <c r="F10">
        <v>-26.8</v>
      </c>
      <c r="G10">
        <f>(104+105)/2</f>
        <v>104.5</v>
      </c>
      <c r="H10" t="s">
        <v>106</v>
      </c>
      <c r="I10">
        <v>1</v>
      </c>
      <c r="J10" t="s">
        <v>164</v>
      </c>
      <c r="K10" t="s">
        <v>329</v>
      </c>
    </row>
    <row r="11" spans="1:11" x14ac:dyDescent="0.2">
      <c r="A11" t="s">
        <v>275</v>
      </c>
      <c r="B11" t="s">
        <v>42</v>
      </c>
      <c r="C11">
        <v>1980</v>
      </c>
      <c r="D11">
        <v>30</v>
      </c>
      <c r="E11" t="s">
        <v>38</v>
      </c>
      <c r="F11">
        <v>-27.3</v>
      </c>
      <c r="G11">
        <f>(104+105)/2</f>
        <v>104.5</v>
      </c>
      <c r="H11" t="s">
        <v>106</v>
      </c>
      <c r="I11">
        <v>1</v>
      </c>
      <c r="J11" t="s">
        <v>164</v>
      </c>
      <c r="K11" t="s">
        <v>328</v>
      </c>
    </row>
    <row r="12" spans="1:11" x14ac:dyDescent="0.2">
      <c r="A12" t="s">
        <v>276</v>
      </c>
      <c r="B12" t="s">
        <v>56</v>
      </c>
      <c r="C12">
        <v>1630</v>
      </c>
      <c r="D12">
        <v>30</v>
      </c>
      <c r="E12" t="s">
        <v>38</v>
      </c>
      <c r="F12">
        <v>-27.2</v>
      </c>
      <c r="G12">
        <f>(104+105)/2</f>
        <v>104.5</v>
      </c>
      <c r="H12" t="s">
        <v>106</v>
      </c>
      <c r="I12">
        <v>1</v>
      </c>
      <c r="J12" t="s">
        <v>164</v>
      </c>
      <c r="K12" t="s">
        <v>327</v>
      </c>
    </row>
    <row r="13" spans="1:11" x14ac:dyDescent="0.2">
      <c r="A13" t="s">
        <v>277</v>
      </c>
      <c r="B13" t="s">
        <v>60</v>
      </c>
      <c r="C13">
        <v>480</v>
      </c>
      <c r="D13">
        <v>30</v>
      </c>
      <c r="E13" t="s">
        <v>38</v>
      </c>
      <c r="F13">
        <v>-25.2</v>
      </c>
      <c r="G13">
        <f t="shared" ref="G13:G20" si="0">(68+70)/2</f>
        <v>69</v>
      </c>
      <c r="H13" t="s">
        <v>106</v>
      </c>
      <c r="I13">
        <v>2</v>
      </c>
      <c r="J13" t="s">
        <v>164</v>
      </c>
      <c r="K13" t="s">
        <v>329</v>
      </c>
    </row>
    <row r="14" spans="1:11" x14ac:dyDescent="0.2">
      <c r="A14" t="s">
        <v>278</v>
      </c>
      <c r="B14" t="s">
        <v>61</v>
      </c>
      <c r="C14">
        <v>560</v>
      </c>
      <c r="D14">
        <v>30</v>
      </c>
      <c r="E14" t="s">
        <v>38</v>
      </c>
      <c r="F14">
        <v>-25.3</v>
      </c>
      <c r="G14">
        <f t="shared" si="0"/>
        <v>69</v>
      </c>
      <c r="H14" t="s">
        <v>106</v>
      </c>
      <c r="I14">
        <v>2</v>
      </c>
      <c r="J14" t="s">
        <v>164</v>
      </c>
      <c r="K14" t="s">
        <v>328</v>
      </c>
    </row>
    <row r="15" spans="1:11" x14ac:dyDescent="0.2">
      <c r="A15" t="s">
        <v>279</v>
      </c>
      <c r="B15" t="s">
        <v>62</v>
      </c>
      <c r="C15">
        <v>1320</v>
      </c>
      <c r="D15">
        <v>30</v>
      </c>
      <c r="E15" t="s">
        <v>38</v>
      </c>
      <c r="F15">
        <v>-25.4</v>
      </c>
      <c r="G15">
        <f t="shared" si="0"/>
        <v>69</v>
      </c>
      <c r="H15" t="s">
        <v>106</v>
      </c>
      <c r="I15">
        <v>2</v>
      </c>
      <c r="J15" t="s">
        <v>164</v>
      </c>
      <c r="K15" t="s">
        <v>329</v>
      </c>
    </row>
    <row r="16" spans="1:11" x14ac:dyDescent="0.2">
      <c r="A16" t="s">
        <v>280</v>
      </c>
      <c r="B16" t="s">
        <v>63</v>
      </c>
      <c r="C16">
        <v>400</v>
      </c>
      <c r="D16">
        <v>30</v>
      </c>
      <c r="E16" t="s">
        <v>38</v>
      </c>
      <c r="F16">
        <v>-25.1</v>
      </c>
      <c r="G16">
        <f t="shared" si="0"/>
        <v>69</v>
      </c>
      <c r="H16" t="s">
        <v>106</v>
      </c>
      <c r="I16">
        <v>2</v>
      </c>
      <c r="J16" t="s">
        <v>164</v>
      </c>
      <c r="K16" t="s">
        <v>327</v>
      </c>
    </row>
    <row r="17" spans="1:11" x14ac:dyDescent="0.2">
      <c r="A17" t="s">
        <v>281</v>
      </c>
      <c r="B17" t="s">
        <v>64</v>
      </c>
      <c r="C17">
        <v>1010</v>
      </c>
      <c r="D17">
        <v>30</v>
      </c>
      <c r="E17" t="s">
        <v>38</v>
      </c>
      <c r="F17">
        <v>-25.7</v>
      </c>
      <c r="G17">
        <f t="shared" si="0"/>
        <v>69</v>
      </c>
      <c r="H17" t="s">
        <v>106</v>
      </c>
      <c r="I17">
        <v>2</v>
      </c>
      <c r="J17" t="s">
        <v>164</v>
      </c>
      <c r="K17" t="s">
        <v>328</v>
      </c>
    </row>
    <row r="18" spans="1:11" x14ac:dyDescent="0.2">
      <c r="A18" t="s">
        <v>282</v>
      </c>
      <c r="B18" t="s">
        <v>65</v>
      </c>
      <c r="C18">
        <v>1060</v>
      </c>
      <c r="D18">
        <v>30</v>
      </c>
      <c r="E18" t="s">
        <v>38</v>
      </c>
      <c r="F18">
        <v>-26.7</v>
      </c>
      <c r="G18">
        <f t="shared" si="0"/>
        <v>69</v>
      </c>
      <c r="H18" t="s">
        <v>168</v>
      </c>
      <c r="I18">
        <v>2</v>
      </c>
      <c r="J18" t="s">
        <v>166</v>
      </c>
      <c r="K18" t="s">
        <v>168</v>
      </c>
    </row>
    <row r="19" spans="1:11" x14ac:dyDescent="0.2">
      <c r="A19" t="s">
        <v>283</v>
      </c>
      <c r="B19" t="s">
        <v>66</v>
      </c>
      <c r="C19">
        <v>1200</v>
      </c>
      <c r="D19">
        <v>40</v>
      </c>
      <c r="E19" t="s">
        <v>38</v>
      </c>
      <c r="F19" t="s">
        <v>104</v>
      </c>
      <c r="G19">
        <f t="shared" si="0"/>
        <v>69</v>
      </c>
      <c r="H19" t="s">
        <v>168</v>
      </c>
      <c r="I19">
        <v>2</v>
      </c>
      <c r="J19" t="s">
        <v>167</v>
      </c>
      <c r="K19" t="s">
        <v>168</v>
      </c>
    </row>
    <row r="20" spans="1:11" x14ac:dyDescent="0.2">
      <c r="A20" t="s">
        <v>284</v>
      </c>
      <c r="B20" t="s">
        <v>67</v>
      </c>
      <c r="C20">
        <v>980</v>
      </c>
      <c r="D20">
        <v>30</v>
      </c>
      <c r="E20" t="s">
        <v>38</v>
      </c>
      <c r="F20">
        <v>-27.8</v>
      </c>
      <c r="G20">
        <f t="shared" si="0"/>
        <v>69</v>
      </c>
      <c r="H20" t="s">
        <v>168</v>
      </c>
      <c r="I20">
        <v>2</v>
      </c>
      <c r="J20" t="s">
        <v>165</v>
      </c>
      <c r="K20" t="s">
        <v>168</v>
      </c>
    </row>
    <row r="21" spans="1:11" x14ac:dyDescent="0.2">
      <c r="A21" t="s">
        <v>285</v>
      </c>
      <c r="B21" t="s">
        <v>119</v>
      </c>
      <c r="C21">
        <v>4840</v>
      </c>
      <c r="D21">
        <v>30</v>
      </c>
      <c r="E21" t="s">
        <v>38</v>
      </c>
      <c r="F21">
        <v>-29.7</v>
      </c>
      <c r="G21">
        <f>(501+503)/2</f>
        <v>502</v>
      </c>
      <c r="H21" t="s">
        <v>106</v>
      </c>
      <c r="I21">
        <v>2</v>
      </c>
      <c r="J21" t="s">
        <v>164</v>
      </c>
      <c r="K21" t="s">
        <v>327</v>
      </c>
    </row>
    <row r="22" spans="1:11" x14ac:dyDescent="0.2">
      <c r="A22" t="s">
        <v>286</v>
      </c>
      <c r="B22" t="s">
        <v>123</v>
      </c>
      <c r="C22">
        <v>4880</v>
      </c>
      <c r="D22">
        <v>30</v>
      </c>
      <c r="E22" t="s">
        <v>38</v>
      </c>
      <c r="F22">
        <v>-27.6</v>
      </c>
      <c r="G22">
        <f>(501+503)/2</f>
        <v>502</v>
      </c>
      <c r="H22" t="s">
        <v>106</v>
      </c>
      <c r="I22">
        <v>2</v>
      </c>
      <c r="J22" t="s">
        <v>164</v>
      </c>
      <c r="K22" t="s">
        <v>329</v>
      </c>
    </row>
    <row r="23" spans="1:11" x14ac:dyDescent="0.2">
      <c r="A23" t="s">
        <v>287</v>
      </c>
      <c r="B23" t="s">
        <v>132</v>
      </c>
      <c r="C23">
        <v>6010</v>
      </c>
      <c r="D23">
        <v>30</v>
      </c>
      <c r="E23" t="s">
        <v>38</v>
      </c>
      <c r="F23">
        <v>-28.4</v>
      </c>
      <c r="G23">
        <f t="shared" ref="G23:G28" si="1">(669+671)/2</f>
        <v>670</v>
      </c>
      <c r="H23" t="s">
        <v>106</v>
      </c>
      <c r="I23">
        <v>2</v>
      </c>
      <c r="J23" t="s">
        <v>164</v>
      </c>
      <c r="K23" t="s">
        <v>329</v>
      </c>
    </row>
    <row r="24" spans="1:11" x14ac:dyDescent="0.2">
      <c r="A24" t="s">
        <v>288</v>
      </c>
      <c r="B24" t="s">
        <v>136</v>
      </c>
      <c r="C24">
        <v>5990</v>
      </c>
      <c r="D24">
        <v>30</v>
      </c>
      <c r="E24" t="s">
        <v>38</v>
      </c>
      <c r="F24">
        <v>-27.3</v>
      </c>
      <c r="G24">
        <f t="shared" si="1"/>
        <v>670</v>
      </c>
      <c r="H24" t="s">
        <v>106</v>
      </c>
      <c r="I24">
        <v>2</v>
      </c>
      <c r="J24" t="s">
        <v>164</v>
      </c>
      <c r="K24" t="s">
        <v>328</v>
      </c>
    </row>
    <row r="25" spans="1:11" x14ac:dyDescent="0.2">
      <c r="A25" t="s">
        <v>289</v>
      </c>
      <c r="B25" t="s">
        <v>139</v>
      </c>
      <c r="C25">
        <v>6020</v>
      </c>
      <c r="D25">
        <v>30</v>
      </c>
      <c r="E25" t="s">
        <v>38</v>
      </c>
      <c r="F25">
        <v>-28.2</v>
      </c>
      <c r="G25">
        <f t="shared" si="1"/>
        <v>670</v>
      </c>
      <c r="H25" t="s">
        <v>106</v>
      </c>
      <c r="I25">
        <v>2</v>
      </c>
      <c r="J25" t="s">
        <v>164</v>
      </c>
      <c r="K25" t="s">
        <v>329</v>
      </c>
    </row>
    <row r="26" spans="1:11" x14ac:dyDescent="0.2">
      <c r="A26" t="s">
        <v>290</v>
      </c>
      <c r="B26" t="s">
        <v>143</v>
      </c>
      <c r="C26">
        <v>2930</v>
      </c>
      <c r="D26">
        <v>30</v>
      </c>
      <c r="E26" t="s">
        <v>38</v>
      </c>
      <c r="F26">
        <v>-25.9</v>
      </c>
      <c r="G26">
        <f t="shared" si="1"/>
        <v>670</v>
      </c>
      <c r="H26" t="s">
        <v>106</v>
      </c>
      <c r="I26">
        <v>2</v>
      </c>
      <c r="J26" t="s">
        <v>164</v>
      </c>
      <c r="K26" t="s">
        <v>327</v>
      </c>
    </row>
    <row r="27" spans="1:11" x14ac:dyDescent="0.2">
      <c r="A27" t="s">
        <v>291</v>
      </c>
      <c r="B27" t="s">
        <v>147</v>
      </c>
      <c r="C27">
        <v>5580</v>
      </c>
      <c r="D27">
        <v>30</v>
      </c>
      <c r="E27" t="s">
        <v>38</v>
      </c>
      <c r="F27">
        <v>-26.9</v>
      </c>
      <c r="G27">
        <f t="shared" si="1"/>
        <v>670</v>
      </c>
      <c r="H27" t="s">
        <v>106</v>
      </c>
      <c r="I27">
        <v>2</v>
      </c>
      <c r="J27" t="s">
        <v>164</v>
      </c>
      <c r="K27" t="s">
        <v>327</v>
      </c>
    </row>
    <row r="28" spans="1:11" x14ac:dyDescent="0.2">
      <c r="A28" t="s">
        <v>292</v>
      </c>
      <c r="B28" t="s">
        <v>151</v>
      </c>
      <c r="C28">
        <v>4990</v>
      </c>
      <c r="D28">
        <v>30</v>
      </c>
      <c r="E28" t="s">
        <v>38</v>
      </c>
      <c r="F28">
        <v>-29.4</v>
      </c>
      <c r="G28">
        <f t="shared" si="1"/>
        <v>670</v>
      </c>
      <c r="H28" t="s">
        <v>168</v>
      </c>
      <c r="I28">
        <v>2</v>
      </c>
      <c r="J28" t="s">
        <v>167</v>
      </c>
      <c r="K28" t="s">
        <v>168</v>
      </c>
    </row>
    <row r="29" spans="1:11" x14ac:dyDescent="0.2">
      <c r="A29" t="s">
        <v>293</v>
      </c>
      <c r="B29" t="s">
        <v>153</v>
      </c>
      <c r="C29">
        <v>4610</v>
      </c>
      <c r="D29">
        <v>30</v>
      </c>
      <c r="E29" t="s">
        <v>38</v>
      </c>
      <c r="F29">
        <v>-27.6</v>
      </c>
      <c r="G29">
        <f>(501+503)/2</f>
        <v>502</v>
      </c>
      <c r="H29" t="s">
        <v>168</v>
      </c>
      <c r="I29">
        <v>2</v>
      </c>
      <c r="J29" t="s">
        <v>166</v>
      </c>
      <c r="K29" t="s">
        <v>168</v>
      </c>
    </row>
    <row r="30" spans="1:11" x14ac:dyDescent="0.2">
      <c r="A30" t="s">
        <v>294</v>
      </c>
      <c r="B30" t="s">
        <v>156</v>
      </c>
      <c r="C30">
        <v>5820</v>
      </c>
      <c r="D30">
        <v>30</v>
      </c>
      <c r="E30" t="s">
        <v>38</v>
      </c>
      <c r="F30">
        <v>-26.9</v>
      </c>
      <c r="G30">
        <f>(669+671)/2</f>
        <v>670</v>
      </c>
      <c r="H30" t="s">
        <v>168</v>
      </c>
      <c r="I30">
        <v>2</v>
      </c>
      <c r="J30" t="s">
        <v>166</v>
      </c>
      <c r="K30" t="s">
        <v>168</v>
      </c>
    </row>
    <row r="31" spans="1:11" x14ac:dyDescent="0.2">
      <c r="A31" t="s">
        <v>295</v>
      </c>
      <c r="B31" t="s">
        <v>115</v>
      </c>
      <c r="C31">
        <v>4630</v>
      </c>
      <c r="D31">
        <v>30</v>
      </c>
      <c r="E31" t="s">
        <v>38</v>
      </c>
      <c r="F31">
        <v>-28.9</v>
      </c>
      <c r="G31">
        <f>(501+503)/2</f>
        <v>502</v>
      </c>
      <c r="H31" t="s">
        <v>168</v>
      </c>
      <c r="I31">
        <v>2</v>
      </c>
      <c r="J31" t="s">
        <v>167</v>
      </c>
      <c r="K31" t="s">
        <v>168</v>
      </c>
    </row>
    <row r="32" spans="1:11" x14ac:dyDescent="0.2">
      <c r="A32" t="s">
        <v>296</v>
      </c>
      <c r="B32" t="s">
        <v>111</v>
      </c>
      <c r="C32">
        <v>5680</v>
      </c>
      <c r="D32">
        <v>30</v>
      </c>
      <c r="E32" t="s">
        <v>38</v>
      </c>
      <c r="F32">
        <v>-27.7</v>
      </c>
      <c r="G32">
        <f>(669+671)/2</f>
        <v>670</v>
      </c>
      <c r="H32" t="s">
        <v>168</v>
      </c>
      <c r="I32">
        <v>2</v>
      </c>
      <c r="J32" t="s">
        <v>165</v>
      </c>
      <c r="K32" t="s">
        <v>168</v>
      </c>
    </row>
    <row r="33" spans="1:11" x14ac:dyDescent="0.2">
      <c r="A33" t="s">
        <v>297</v>
      </c>
      <c r="B33" t="s">
        <v>107</v>
      </c>
      <c r="C33">
        <v>4620</v>
      </c>
      <c r="D33">
        <v>30</v>
      </c>
      <c r="E33" t="s">
        <v>38</v>
      </c>
      <c r="F33">
        <v>-27.3</v>
      </c>
      <c r="G33">
        <f>(501+503)/2</f>
        <v>502</v>
      </c>
      <c r="H33" t="s">
        <v>168</v>
      </c>
      <c r="I33">
        <v>2</v>
      </c>
      <c r="J33" t="s">
        <v>165</v>
      </c>
      <c r="K33" t="s">
        <v>168</v>
      </c>
    </row>
    <row r="34" spans="1:11" x14ac:dyDescent="0.2">
      <c r="A34" t="s">
        <v>298</v>
      </c>
      <c r="B34" t="s">
        <v>159</v>
      </c>
      <c r="C34">
        <v>4990</v>
      </c>
      <c r="D34">
        <v>30</v>
      </c>
      <c r="E34" t="s">
        <v>38</v>
      </c>
      <c r="F34">
        <v>-26.1</v>
      </c>
      <c r="G34">
        <f>(501+503)/2</f>
        <v>502</v>
      </c>
      <c r="H34" t="s">
        <v>106</v>
      </c>
      <c r="I34">
        <v>2</v>
      </c>
      <c r="J34" t="s">
        <v>164</v>
      </c>
      <c r="K34" t="s">
        <v>328</v>
      </c>
    </row>
    <row r="35" spans="1:11" x14ac:dyDescent="0.2">
      <c r="A35" t="s">
        <v>299</v>
      </c>
      <c r="B35" t="s">
        <v>169</v>
      </c>
      <c r="C35">
        <v>5820</v>
      </c>
      <c r="D35">
        <v>30</v>
      </c>
      <c r="E35" t="s">
        <v>38</v>
      </c>
      <c r="F35">
        <v>-26.9</v>
      </c>
      <c r="G35">
        <f>(748+750)/2</f>
        <v>749</v>
      </c>
      <c r="H35" t="s">
        <v>106</v>
      </c>
      <c r="I35">
        <v>2</v>
      </c>
      <c r="J35" t="s">
        <v>164</v>
      </c>
      <c r="K35" t="s">
        <v>327</v>
      </c>
    </row>
    <row r="36" spans="1:11" x14ac:dyDescent="0.2">
      <c r="A36" t="s">
        <v>300</v>
      </c>
      <c r="B36" t="s">
        <v>170</v>
      </c>
      <c r="C36">
        <v>6140</v>
      </c>
      <c r="D36">
        <v>30</v>
      </c>
      <c r="E36" t="s">
        <v>38</v>
      </c>
      <c r="F36">
        <v>-26</v>
      </c>
      <c r="G36">
        <f>(748+750)/2</f>
        <v>749</v>
      </c>
      <c r="H36" t="s">
        <v>106</v>
      </c>
      <c r="I36">
        <v>2</v>
      </c>
      <c r="J36" t="s">
        <v>164</v>
      </c>
      <c r="K36" t="s">
        <v>330</v>
      </c>
    </row>
    <row r="37" spans="1:11" x14ac:dyDescent="0.2">
      <c r="A37" t="s">
        <v>301</v>
      </c>
      <c r="B37" t="s">
        <v>171</v>
      </c>
      <c r="C37">
        <v>6110</v>
      </c>
      <c r="D37">
        <v>30</v>
      </c>
      <c r="E37" t="s">
        <v>38</v>
      </c>
      <c r="F37">
        <v>-27.3</v>
      </c>
      <c r="G37">
        <f>(748+750)/2</f>
        <v>749</v>
      </c>
      <c r="H37" t="s">
        <v>106</v>
      </c>
      <c r="I37">
        <v>2</v>
      </c>
      <c r="J37" t="s">
        <v>164</v>
      </c>
      <c r="K37" t="s">
        <v>327</v>
      </c>
    </row>
    <row r="38" spans="1:11" x14ac:dyDescent="0.2">
      <c r="A38" t="s">
        <v>302</v>
      </c>
      <c r="B38" t="s">
        <v>172</v>
      </c>
      <c r="C38">
        <v>6050</v>
      </c>
      <c r="D38">
        <v>30</v>
      </c>
      <c r="E38" t="s">
        <v>38</v>
      </c>
      <c r="F38">
        <v>-26.6</v>
      </c>
      <c r="G38">
        <f>(748+750)/2</f>
        <v>749</v>
      </c>
      <c r="H38" t="s">
        <v>106</v>
      </c>
      <c r="I38">
        <v>2</v>
      </c>
      <c r="J38" t="s">
        <v>164</v>
      </c>
      <c r="K38" t="s">
        <v>329</v>
      </c>
    </row>
    <row r="39" spans="1:11" x14ac:dyDescent="0.2">
      <c r="A39" t="s">
        <v>303</v>
      </c>
      <c r="B39" t="s">
        <v>173</v>
      </c>
      <c r="C39">
        <v>6150</v>
      </c>
      <c r="D39">
        <v>30</v>
      </c>
      <c r="E39" t="s">
        <v>38</v>
      </c>
      <c r="F39">
        <v>-28.2</v>
      </c>
      <c r="G39">
        <f>(748+750)/2</f>
        <v>749</v>
      </c>
      <c r="H39" t="s">
        <v>106</v>
      </c>
      <c r="I39">
        <v>2</v>
      </c>
      <c r="J39" t="s">
        <v>164</v>
      </c>
      <c r="K39" t="s">
        <v>327</v>
      </c>
    </row>
    <row r="40" spans="1:11" x14ac:dyDescent="0.2">
      <c r="A40" t="s">
        <v>304</v>
      </c>
      <c r="B40" t="s">
        <v>174</v>
      </c>
      <c r="C40">
        <v>5970</v>
      </c>
      <c r="D40">
        <v>30</v>
      </c>
      <c r="E40" t="s">
        <v>38</v>
      </c>
      <c r="F40">
        <v>-26.5</v>
      </c>
      <c r="G40">
        <f>(648+650)/2</f>
        <v>649</v>
      </c>
      <c r="H40" t="s">
        <v>106</v>
      </c>
      <c r="I40">
        <v>2</v>
      </c>
      <c r="J40" t="s">
        <v>164</v>
      </c>
      <c r="K40" t="s">
        <v>329</v>
      </c>
    </row>
    <row r="41" spans="1:11" x14ac:dyDescent="0.2">
      <c r="A41" t="s">
        <v>305</v>
      </c>
      <c r="B41" t="s">
        <v>177</v>
      </c>
      <c r="C41">
        <v>5770</v>
      </c>
      <c r="D41">
        <v>30</v>
      </c>
      <c r="E41" t="s">
        <v>38</v>
      </c>
      <c r="F41">
        <v>-27.2</v>
      </c>
      <c r="G41">
        <f>(648+650)/2</f>
        <v>649</v>
      </c>
      <c r="H41" t="s">
        <v>106</v>
      </c>
      <c r="I41">
        <v>2</v>
      </c>
      <c r="J41" t="s">
        <v>164</v>
      </c>
      <c r="K41" t="s">
        <v>327</v>
      </c>
    </row>
    <row r="42" spans="1:11" x14ac:dyDescent="0.2">
      <c r="A42" t="s">
        <v>306</v>
      </c>
      <c r="B42" t="s">
        <v>178</v>
      </c>
      <c r="C42">
        <v>6000</v>
      </c>
      <c r="D42">
        <v>30</v>
      </c>
      <c r="E42" t="s">
        <v>38</v>
      </c>
      <c r="F42">
        <v>-27.4</v>
      </c>
      <c r="G42">
        <f>(648+650)/2</f>
        <v>649</v>
      </c>
      <c r="H42" t="s">
        <v>106</v>
      </c>
      <c r="I42">
        <v>2</v>
      </c>
      <c r="J42" t="s">
        <v>164</v>
      </c>
      <c r="K42" t="s">
        <v>327</v>
      </c>
    </row>
    <row r="43" spans="1:11" x14ac:dyDescent="0.2">
      <c r="A43" t="s">
        <v>307</v>
      </c>
      <c r="B43" t="s">
        <v>179</v>
      </c>
      <c r="C43">
        <v>5890</v>
      </c>
      <c r="D43">
        <v>30</v>
      </c>
      <c r="E43" t="s">
        <v>38</v>
      </c>
      <c r="F43">
        <v>-28</v>
      </c>
      <c r="G43">
        <f>(648+650)/2</f>
        <v>649</v>
      </c>
      <c r="H43" t="s">
        <v>106</v>
      </c>
      <c r="I43">
        <v>2</v>
      </c>
      <c r="J43" t="s">
        <v>164</v>
      </c>
      <c r="K43" t="s">
        <v>329</v>
      </c>
    </row>
    <row r="44" spans="1:11" x14ac:dyDescent="0.2">
      <c r="A44" t="s">
        <v>308</v>
      </c>
      <c r="B44" t="s">
        <v>180</v>
      </c>
      <c r="C44">
        <v>6120</v>
      </c>
      <c r="D44">
        <v>30</v>
      </c>
      <c r="E44" t="s">
        <v>38</v>
      </c>
      <c r="F44">
        <v>-26.1</v>
      </c>
      <c r="G44">
        <f>(748+750)/2</f>
        <v>749</v>
      </c>
      <c r="H44" t="s">
        <v>168</v>
      </c>
      <c r="I44">
        <v>2</v>
      </c>
      <c r="J44" t="s">
        <v>166</v>
      </c>
      <c r="K44" t="s">
        <v>168</v>
      </c>
    </row>
    <row r="45" spans="1:11" x14ac:dyDescent="0.2">
      <c r="A45" t="s">
        <v>309</v>
      </c>
      <c r="B45" t="s">
        <v>181</v>
      </c>
      <c r="C45">
        <v>5600</v>
      </c>
      <c r="D45">
        <v>30</v>
      </c>
      <c r="E45" t="s">
        <v>38</v>
      </c>
      <c r="F45">
        <v>-27.8</v>
      </c>
      <c r="G45">
        <f>(748+750)/2</f>
        <v>749</v>
      </c>
      <c r="H45" t="s">
        <v>168</v>
      </c>
      <c r="I45">
        <v>2</v>
      </c>
      <c r="J45" t="s">
        <v>167</v>
      </c>
      <c r="K45" t="s">
        <v>168</v>
      </c>
    </row>
    <row r="46" spans="1:11" x14ac:dyDescent="0.2">
      <c r="A46" t="s">
        <v>310</v>
      </c>
      <c r="B46" t="s">
        <v>182</v>
      </c>
      <c r="C46">
        <v>6060</v>
      </c>
      <c r="D46">
        <v>30</v>
      </c>
      <c r="E46" t="s">
        <v>38</v>
      </c>
      <c r="F46">
        <v>-27.3</v>
      </c>
      <c r="G46">
        <f>(748+750)/2</f>
        <v>749</v>
      </c>
      <c r="H46" t="s">
        <v>168</v>
      </c>
      <c r="I46">
        <v>2</v>
      </c>
      <c r="J46" t="s">
        <v>165</v>
      </c>
      <c r="K46" t="s">
        <v>168</v>
      </c>
    </row>
    <row r="47" spans="1:11" x14ac:dyDescent="0.2">
      <c r="A47" t="s">
        <v>311</v>
      </c>
      <c r="B47" t="s">
        <v>183</v>
      </c>
      <c r="C47">
        <v>6000</v>
      </c>
      <c r="D47">
        <v>30</v>
      </c>
      <c r="E47" t="s">
        <v>38</v>
      </c>
      <c r="F47">
        <v>-27.7</v>
      </c>
      <c r="G47">
        <f>(648+650)/2</f>
        <v>649</v>
      </c>
      <c r="H47" t="s">
        <v>168</v>
      </c>
      <c r="I47">
        <v>2</v>
      </c>
      <c r="J47" t="s">
        <v>166</v>
      </c>
      <c r="K47" t="s">
        <v>168</v>
      </c>
    </row>
    <row r="48" spans="1:11" x14ac:dyDescent="0.2">
      <c r="A48" t="s">
        <v>312</v>
      </c>
      <c r="B48" t="s">
        <v>184</v>
      </c>
      <c r="C48">
        <v>5480</v>
      </c>
      <c r="D48">
        <v>30</v>
      </c>
      <c r="E48" t="s">
        <v>38</v>
      </c>
      <c r="F48">
        <v>-29.4</v>
      </c>
      <c r="G48">
        <f>(648+650)/2</f>
        <v>649</v>
      </c>
      <c r="H48" t="s">
        <v>168</v>
      </c>
      <c r="I48">
        <v>2</v>
      </c>
      <c r="J48" t="s">
        <v>167</v>
      </c>
      <c r="K48" t="s">
        <v>168</v>
      </c>
    </row>
    <row r="49" spans="1:11" x14ac:dyDescent="0.2">
      <c r="A49" t="s">
        <v>313</v>
      </c>
      <c r="B49" t="s">
        <v>185</v>
      </c>
      <c r="C49">
        <v>5900</v>
      </c>
      <c r="D49">
        <v>30</v>
      </c>
      <c r="E49" t="s">
        <v>38</v>
      </c>
      <c r="F49">
        <v>-27.4</v>
      </c>
      <c r="G49">
        <f>(648+650)/2</f>
        <v>649</v>
      </c>
      <c r="H49" t="s">
        <v>168</v>
      </c>
      <c r="I49">
        <v>2</v>
      </c>
      <c r="J49" t="s">
        <v>165</v>
      </c>
      <c r="K49" t="s">
        <v>168</v>
      </c>
    </row>
    <row r="50" spans="1:11" x14ac:dyDescent="0.2">
      <c r="A50" t="s">
        <v>314</v>
      </c>
      <c r="B50" t="s">
        <v>187</v>
      </c>
      <c r="C50">
        <v>5920</v>
      </c>
      <c r="D50">
        <v>30</v>
      </c>
      <c r="E50" t="s">
        <v>38</v>
      </c>
      <c r="F50">
        <v>-29.3</v>
      </c>
      <c r="G50">
        <f>(648+650)/2</f>
        <v>649</v>
      </c>
      <c r="H50" t="s">
        <v>106</v>
      </c>
      <c r="I50">
        <v>2</v>
      </c>
      <c r="J50" t="s">
        <v>164</v>
      </c>
      <c r="K50" t="s">
        <v>329</v>
      </c>
    </row>
    <row r="51" spans="1:11" x14ac:dyDescent="0.2">
      <c r="A51" t="s">
        <v>315</v>
      </c>
      <c r="B51" t="s">
        <v>218</v>
      </c>
      <c r="C51">
        <v>4290</v>
      </c>
      <c r="D51">
        <v>30</v>
      </c>
      <c r="E51" t="s">
        <v>38</v>
      </c>
      <c r="F51">
        <v>-26.7</v>
      </c>
      <c r="G51">
        <f>(333+335)/2</f>
        <v>334</v>
      </c>
      <c r="H51" t="s">
        <v>168</v>
      </c>
      <c r="I51">
        <v>2</v>
      </c>
      <c r="J51" t="s">
        <v>165</v>
      </c>
      <c r="K51" t="s">
        <v>168</v>
      </c>
    </row>
    <row r="52" spans="1:11" x14ac:dyDescent="0.2">
      <c r="A52" t="s">
        <v>316</v>
      </c>
      <c r="B52" t="s">
        <v>222</v>
      </c>
      <c r="C52">
        <v>4310</v>
      </c>
      <c r="D52">
        <v>30</v>
      </c>
      <c r="E52" t="s">
        <v>38</v>
      </c>
      <c r="F52">
        <v>-26.8</v>
      </c>
      <c r="G52">
        <f>(333+335)/2</f>
        <v>334</v>
      </c>
      <c r="H52" t="s">
        <v>168</v>
      </c>
      <c r="I52">
        <v>2</v>
      </c>
      <c r="J52" t="s">
        <v>167</v>
      </c>
      <c r="K52" t="s">
        <v>168</v>
      </c>
    </row>
    <row r="53" spans="1:11" x14ac:dyDescent="0.2">
      <c r="A53" t="s">
        <v>317</v>
      </c>
      <c r="B53" t="s">
        <v>225</v>
      </c>
      <c r="C53">
        <v>4300</v>
      </c>
      <c r="D53">
        <v>30</v>
      </c>
      <c r="E53" t="s">
        <v>38</v>
      </c>
      <c r="F53">
        <v>-26.8</v>
      </c>
      <c r="G53">
        <f>(333+335)/2</f>
        <v>334</v>
      </c>
      <c r="H53" t="s">
        <v>168</v>
      </c>
      <c r="I53">
        <v>2</v>
      </c>
      <c r="J53" t="s">
        <v>166</v>
      </c>
      <c r="K53" t="s">
        <v>168</v>
      </c>
    </row>
    <row r="54" spans="1:11" x14ac:dyDescent="0.2">
      <c r="A54" t="s">
        <v>318</v>
      </c>
      <c r="B54" t="s">
        <v>228</v>
      </c>
      <c r="C54">
        <v>5440</v>
      </c>
      <c r="D54">
        <v>30</v>
      </c>
      <c r="E54" t="s">
        <v>38</v>
      </c>
      <c r="F54">
        <v>-28.1</v>
      </c>
      <c r="G54">
        <f>(573+575)/2</f>
        <v>574</v>
      </c>
      <c r="H54" t="s">
        <v>168</v>
      </c>
      <c r="I54">
        <v>2</v>
      </c>
      <c r="J54" t="s">
        <v>165</v>
      </c>
      <c r="K54" t="s">
        <v>168</v>
      </c>
    </row>
    <row r="55" spans="1:11" x14ac:dyDescent="0.2">
      <c r="A55" t="s">
        <v>319</v>
      </c>
      <c r="B55" t="s">
        <v>232</v>
      </c>
      <c r="C55">
        <v>5310</v>
      </c>
      <c r="D55">
        <v>30</v>
      </c>
      <c r="E55" t="s">
        <v>38</v>
      </c>
      <c r="F55">
        <v>-28.8</v>
      </c>
      <c r="G55">
        <f>(573+575)/2</f>
        <v>574</v>
      </c>
      <c r="H55" t="s">
        <v>168</v>
      </c>
      <c r="I55">
        <v>2</v>
      </c>
      <c r="J55" t="s">
        <v>167</v>
      </c>
      <c r="K55" t="s">
        <v>168</v>
      </c>
    </row>
    <row r="56" spans="1:11" x14ac:dyDescent="0.2">
      <c r="A56" t="s">
        <v>320</v>
      </c>
      <c r="B56" t="s">
        <v>236</v>
      </c>
      <c r="C56">
        <v>5660</v>
      </c>
      <c r="D56">
        <v>30</v>
      </c>
      <c r="E56" t="s">
        <v>38</v>
      </c>
      <c r="F56">
        <v>-27.6</v>
      </c>
      <c r="G56">
        <f>(573+575)/2</f>
        <v>574</v>
      </c>
      <c r="H56" t="s">
        <v>168</v>
      </c>
      <c r="I56">
        <v>2</v>
      </c>
      <c r="J56" t="s">
        <v>166</v>
      </c>
      <c r="K56" t="s">
        <v>168</v>
      </c>
    </row>
    <row r="57" spans="1:11" x14ac:dyDescent="0.2">
      <c r="A57" t="s">
        <v>321</v>
      </c>
      <c r="B57" t="s">
        <v>239</v>
      </c>
      <c r="C57">
        <v>4660</v>
      </c>
      <c r="D57">
        <v>30</v>
      </c>
      <c r="E57" t="s">
        <v>38</v>
      </c>
      <c r="F57">
        <v>-28.2</v>
      </c>
      <c r="G57">
        <f>(333+335)/2</f>
        <v>334</v>
      </c>
      <c r="H57" t="s">
        <v>106</v>
      </c>
      <c r="I57">
        <v>2</v>
      </c>
      <c r="J57" t="s">
        <v>164</v>
      </c>
      <c r="K57" t="s">
        <v>329</v>
      </c>
    </row>
    <row r="58" spans="1:11" x14ac:dyDescent="0.2">
      <c r="A58" t="s">
        <v>322</v>
      </c>
      <c r="B58" t="s">
        <v>243</v>
      </c>
      <c r="C58">
        <v>3660</v>
      </c>
      <c r="D58">
        <v>30</v>
      </c>
      <c r="E58" t="s">
        <v>38</v>
      </c>
      <c r="F58">
        <v>-28.3</v>
      </c>
      <c r="G58">
        <f>(333+335)/2</f>
        <v>334</v>
      </c>
      <c r="H58" t="s">
        <v>106</v>
      </c>
      <c r="I58">
        <v>2</v>
      </c>
      <c r="J58" t="s">
        <v>164</v>
      </c>
      <c r="K58" t="s">
        <v>329</v>
      </c>
    </row>
    <row r="59" spans="1:11" x14ac:dyDescent="0.2">
      <c r="A59" t="s">
        <v>323</v>
      </c>
      <c r="B59" t="s">
        <v>247</v>
      </c>
      <c r="C59">
        <v>5980</v>
      </c>
      <c r="D59">
        <v>30</v>
      </c>
      <c r="E59" t="s">
        <v>38</v>
      </c>
      <c r="F59">
        <v>-28.8</v>
      </c>
      <c r="G59">
        <f>(573+575)/2</f>
        <v>574</v>
      </c>
      <c r="H59" t="s">
        <v>106</v>
      </c>
      <c r="I59">
        <v>2</v>
      </c>
      <c r="J59" t="s">
        <v>164</v>
      </c>
      <c r="K59" t="s">
        <v>329</v>
      </c>
    </row>
    <row r="60" spans="1:11" x14ac:dyDescent="0.2">
      <c r="A60" t="s">
        <v>324</v>
      </c>
      <c r="B60" t="s">
        <v>251</v>
      </c>
      <c r="C60">
        <v>2470</v>
      </c>
      <c r="D60">
        <v>30</v>
      </c>
      <c r="E60" t="s">
        <v>38</v>
      </c>
      <c r="F60">
        <v>-27.47</v>
      </c>
      <c r="G60">
        <f>(147+149)/2</f>
        <v>148</v>
      </c>
      <c r="H60" t="s">
        <v>168</v>
      </c>
      <c r="I60">
        <v>2</v>
      </c>
      <c r="J60" t="s">
        <v>166</v>
      </c>
      <c r="K60" t="s">
        <v>168</v>
      </c>
    </row>
    <row r="61" spans="1:11" x14ac:dyDescent="0.2">
      <c r="A61" t="s">
        <v>325</v>
      </c>
      <c r="B61" t="s">
        <v>252</v>
      </c>
      <c r="C61">
        <v>3370</v>
      </c>
      <c r="D61">
        <v>30</v>
      </c>
      <c r="E61" t="s">
        <v>38</v>
      </c>
      <c r="F61">
        <v>-25.97</v>
      </c>
      <c r="G61">
        <f>(256+257)/2</f>
        <v>256.5</v>
      </c>
      <c r="H61" t="s">
        <v>168</v>
      </c>
      <c r="I61">
        <v>1</v>
      </c>
      <c r="J61" t="s">
        <v>166</v>
      </c>
      <c r="K61" t="s">
        <v>168</v>
      </c>
    </row>
    <row r="62" spans="1:11" x14ac:dyDescent="0.2">
      <c r="A62" t="s">
        <v>326</v>
      </c>
      <c r="B62" t="s">
        <v>253</v>
      </c>
      <c r="C62">
        <v>4920</v>
      </c>
      <c r="D62">
        <v>30</v>
      </c>
      <c r="E62" t="s">
        <v>38</v>
      </c>
      <c r="F62">
        <v>-27.75</v>
      </c>
      <c r="G62">
        <f>(406.5+407.5)/2</f>
        <v>407</v>
      </c>
      <c r="H62" t="s">
        <v>168</v>
      </c>
      <c r="I62">
        <v>1</v>
      </c>
      <c r="J62" t="s">
        <v>166</v>
      </c>
      <c r="K6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#TAN FANG YI#</dc:creator>
  <cp:lastModifiedBy>Tan Fang Yi</cp:lastModifiedBy>
  <dcterms:created xsi:type="dcterms:W3CDTF">2021-04-21T01:10:22Z</dcterms:created>
  <dcterms:modified xsi:type="dcterms:W3CDTF">2025-07-01T03:59:01Z</dcterms:modified>
</cp:coreProperties>
</file>