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1"/>
  <workbookPr defaultThemeVersion="166925"/>
  <mc:AlternateContent xmlns:mc="http://schemas.openxmlformats.org/markup-compatibility/2006">
    <mc:Choice Requires="x15">
      <x15ac:absPath xmlns:x15ac="http://schemas.microsoft.com/office/spreadsheetml/2010/11/ac" url="/Users/fangyi/Desktop/"/>
    </mc:Choice>
  </mc:AlternateContent>
  <xr:revisionPtr revIDLastSave="0" documentId="13_ncr:1_{E19BE982-0386-B948-92A4-D103CC88D344}" xr6:coauthVersionLast="46" xr6:coauthVersionMax="46" xr10:uidLastSave="{00000000-0000-0000-0000-000000000000}"/>
  <bookViews>
    <workbookView xWindow="0" yWindow="460" windowWidth="40960" windowHeight="21300" activeTab="13" xr2:uid="{A95011E7-3BF1-DE49-B6EA-EBDADB97A914}"/>
  </bookViews>
  <sheets>
    <sheet name="Modern Transect Elev Summary" sheetId="12" r:id="rId1"/>
    <sheet name="Indicative meanings" sheetId="13" r:id="rId2"/>
    <sheet name="Grover" sheetId="1" r:id="rId3"/>
    <sheet name="Oscar" sheetId="2" r:id="rId4"/>
    <sheet name="BertErnie" sheetId="4" r:id="rId5"/>
    <sheet name="BigBird (Fangyi)" sheetId="11" r:id="rId6"/>
    <sheet name="BigBird (Nicole)" sheetId="7" r:id="rId7"/>
    <sheet name="CookieMonster" sheetId="9" r:id="rId8"/>
    <sheet name="Stratigraphy" sheetId="6" r:id="rId9"/>
    <sheet name="BrainCores" sheetId="5" r:id="rId10"/>
    <sheet name="RTKLog" sheetId="3" r:id="rId11"/>
    <sheet name="Radiocarbon" sheetId="8" r:id="rId12"/>
    <sheet name="2021 Dating plan" sheetId="10" r:id="rId13"/>
    <sheet name="RSL SLIPs" sheetId="14"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57" i="2" l="1"/>
  <c r="S56" i="2"/>
  <c r="R52" i="2"/>
  <c r="R51" i="2"/>
  <c r="R50" i="2"/>
  <c r="T50" i="2" s="1"/>
  <c r="R49" i="2"/>
  <c r="T49" i="2" s="1"/>
  <c r="R48" i="2"/>
  <c r="R46" i="2"/>
  <c r="R45" i="2"/>
  <c r="R43" i="2"/>
  <c r="R41" i="2"/>
  <c r="R40" i="2"/>
  <c r="R38" i="2"/>
  <c r="R37" i="2"/>
  <c r="R35" i="2"/>
  <c r="R34" i="2"/>
  <c r="R33" i="2"/>
  <c r="R31" i="2"/>
  <c r="R30" i="2"/>
  <c r="R28" i="2"/>
  <c r="R27" i="2"/>
  <c r="R26" i="2"/>
  <c r="R25" i="2"/>
  <c r="R24" i="2"/>
  <c r="T24" i="2" s="1"/>
  <c r="R23" i="2"/>
  <c r="R22" i="2"/>
  <c r="R21" i="2"/>
  <c r="R20" i="2"/>
  <c r="R19" i="2"/>
  <c r="R18" i="2"/>
  <c r="T18" i="2" s="1"/>
  <c r="R17" i="2"/>
  <c r="R16" i="2"/>
  <c r="R15" i="2"/>
  <c r="R14" i="2"/>
  <c r="R12" i="2"/>
  <c r="R11" i="2"/>
  <c r="R10" i="2"/>
  <c r="R9" i="2"/>
  <c r="T9" i="2" s="1"/>
  <c r="R8" i="2"/>
  <c r="T8" i="2" s="1"/>
  <c r="R7" i="2"/>
  <c r="P52" i="2"/>
  <c r="P51" i="2"/>
  <c r="P50" i="2"/>
  <c r="P49" i="2"/>
  <c r="S49" i="2" s="1"/>
  <c r="P48" i="2"/>
  <c r="P46" i="2"/>
  <c r="P45" i="2"/>
  <c r="P43" i="2"/>
  <c r="P41" i="2"/>
  <c r="P40" i="2"/>
  <c r="S40" i="2" s="1"/>
  <c r="P38" i="2"/>
  <c r="P37" i="2"/>
  <c r="P34" i="2"/>
  <c r="P33" i="2"/>
  <c r="P35" i="2"/>
  <c r="P31" i="2"/>
  <c r="P30" i="2"/>
  <c r="P28" i="2"/>
  <c r="P27" i="2"/>
  <c r="P26" i="2"/>
  <c r="T26" i="2" s="1"/>
  <c r="P25" i="2"/>
  <c r="T25" i="2" s="1"/>
  <c r="P24" i="2"/>
  <c r="P23" i="2"/>
  <c r="P22" i="2"/>
  <c r="P21" i="2"/>
  <c r="P20" i="2"/>
  <c r="T20" i="2" s="1"/>
  <c r="P19" i="2"/>
  <c r="T19" i="2" s="1"/>
  <c r="P18" i="2"/>
  <c r="P17" i="2"/>
  <c r="S17" i="2" s="1"/>
  <c r="P16" i="2"/>
  <c r="P15" i="2"/>
  <c r="P14" i="2"/>
  <c r="S14" i="2" s="1"/>
  <c r="P8" i="2"/>
  <c r="P9" i="2"/>
  <c r="P10" i="2"/>
  <c r="P11" i="2"/>
  <c r="P12" i="2"/>
  <c r="S12" i="2" s="1"/>
  <c r="P7" i="2"/>
  <c r="T7" i="2" s="1"/>
  <c r="D65" i="8"/>
  <c r="D64" i="8"/>
  <c r="D63" i="8"/>
  <c r="D62" i="8"/>
  <c r="G51" i="8"/>
  <c r="G50" i="8"/>
  <c r="G49" i="8"/>
  <c r="G48" i="8"/>
  <c r="G47" i="8"/>
  <c r="G46" i="8"/>
  <c r="H32" i="1"/>
  <c r="H29" i="1" a="1"/>
  <c r="H29" i="1" s="1"/>
  <c r="A20" i="13" s="1"/>
  <c r="H25" i="1" a="1"/>
  <c r="H25" i="1" s="1"/>
  <c r="A16" i="13" s="1"/>
  <c r="H20" i="1" a="1"/>
  <c r="H20" i="1" s="1"/>
  <c r="A11" i="13" s="1"/>
  <c r="H19" i="1"/>
  <c r="H12" i="1" a="1"/>
  <c r="H12" i="1" s="1"/>
  <c r="A3" i="13" s="1"/>
  <c r="E4" i="13"/>
  <c r="E5" i="13"/>
  <c r="E6" i="13"/>
  <c r="E7" i="13"/>
  <c r="E8" i="13"/>
  <c r="E9" i="13"/>
  <c r="E10" i="13"/>
  <c r="E3" i="13"/>
  <c r="N17" i="9" a="1"/>
  <c r="N17" i="9" s="1"/>
  <c r="N14" i="9" a="1"/>
  <c r="N14" i="9" s="1"/>
  <c r="D4" i="13"/>
  <c r="D5" i="13"/>
  <c r="D6" i="13"/>
  <c r="D7" i="13"/>
  <c r="D8" i="13"/>
  <c r="D9" i="13"/>
  <c r="D10" i="13"/>
  <c r="D11" i="13"/>
  <c r="D12" i="13"/>
  <c r="D13" i="13"/>
  <c r="D14" i="13"/>
  <c r="D15" i="13"/>
  <c r="D16" i="13"/>
  <c r="D17" i="13"/>
  <c r="D18" i="13"/>
  <c r="D19" i="13"/>
  <c r="D20" i="13"/>
  <c r="D21" i="13"/>
  <c r="D22" i="13"/>
  <c r="D23" i="13"/>
  <c r="D3" i="13"/>
  <c r="L29" i="11"/>
  <c r="L30" i="11"/>
  <c r="L31" i="11"/>
  <c r="L28" i="11"/>
  <c r="L26" i="11"/>
  <c r="L27" i="11"/>
  <c r="L25" i="11"/>
  <c r="L24" i="11"/>
  <c r="L23" i="11"/>
  <c r="L22" i="11"/>
  <c r="L21" i="11"/>
  <c r="L20" i="11"/>
  <c r="L18" i="11"/>
  <c r="L19" i="11"/>
  <c r="L17" i="11"/>
  <c r="L12" i="11"/>
  <c r="L13" i="11"/>
  <c r="L14" i="11"/>
  <c r="L15" i="11"/>
  <c r="L16" i="11"/>
  <c r="L11" i="11"/>
  <c r="C4" i="13"/>
  <c r="C5" i="13"/>
  <c r="C6" i="13"/>
  <c r="C7" i="13"/>
  <c r="C8" i="13"/>
  <c r="C9" i="13"/>
  <c r="C10" i="13"/>
  <c r="C11" i="13"/>
  <c r="C12" i="13"/>
  <c r="C13" i="13"/>
  <c r="C14" i="13"/>
  <c r="C15" i="13"/>
  <c r="C16" i="13"/>
  <c r="C17" i="13"/>
  <c r="C3" i="13"/>
  <c r="G24" i="4"/>
  <c r="G25" i="4"/>
  <c r="G26" i="4"/>
  <c r="G27" i="4"/>
  <c r="G28" i="4"/>
  <c r="G23" i="4"/>
  <c r="G22" i="4"/>
  <c r="G21" i="4"/>
  <c r="G17" i="4"/>
  <c r="G18" i="4"/>
  <c r="G19" i="4"/>
  <c r="G20" i="4"/>
  <c r="G16" i="4"/>
  <c r="G15" i="4"/>
  <c r="G14" i="4"/>
  <c r="B4" i="13"/>
  <c r="B5" i="13"/>
  <c r="B6" i="13"/>
  <c r="B7" i="13"/>
  <c r="B8" i="13"/>
  <c r="B9" i="13"/>
  <c r="B10" i="13"/>
  <c r="B11" i="13"/>
  <c r="B12" i="13"/>
  <c r="B13" i="13"/>
  <c r="B14" i="13"/>
  <c r="B15" i="13"/>
  <c r="B16" i="13"/>
  <c r="B17" i="13"/>
  <c r="B18" i="13"/>
  <c r="B19" i="13"/>
  <c r="B3" i="13"/>
  <c r="L26" i="2"/>
  <c r="L27" i="2"/>
  <c r="L25" i="2"/>
  <c r="L24" i="2"/>
  <c r="L23" i="2"/>
  <c r="L22" i="2"/>
  <c r="L21" i="2"/>
  <c r="L20" i="2"/>
  <c r="L19" i="2"/>
  <c r="L18" i="2"/>
  <c r="L17" i="2"/>
  <c r="L16" i="2"/>
  <c r="L12" i="2"/>
  <c r="L13" i="2"/>
  <c r="L14" i="2"/>
  <c r="L15" i="2"/>
  <c r="L11" i="2"/>
  <c r="A4" i="13"/>
  <c r="A5" i="13"/>
  <c r="A6" i="13"/>
  <c r="A7" i="13"/>
  <c r="A8" i="13"/>
  <c r="A9" i="13"/>
  <c r="A10" i="13"/>
  <c r="A12" i="13"/>
  <c r="A13" i="13"/>
  <c r="A14" i="13"/>
  <c r="A15" i="13"/>
  <c r="A17" i="13"/>
  <c r="A18" i="13"/>
  <c r="A19" i="13"/>
  <c r="A21" i="13"/>
  <c r="A22" i="13"/>
  <c r="A23" i="13"/>
  <c r="E4" i="12"/>
  <c r="E5" i="12"/>
  <c r="E6" i="12"/>
  <c r="E7" i="12"/>
  <c r="E8" i="12"/>
  <c r="E9" i="12"/>
  <c r="E10" i="12"/>
  <c r="E11" i="12"/>
  <c r="E12" i="12"/>
  <c r="E13" i="12"/>
  <c r="E14" i="12"/>
  <c r="E15" i="12"/>
  <c r="E16" i="12"/>
  <c r="E17" i="12"/>
  <c r="E18" i="12"/>
  <c r="E3" i="12"/>
  <c r="C4" i="12"/>
  <c r="C5" i="12"/>
  <c r="C6" i="12"/>
  <c r="C7" i="12"/>
  <c r="C8" i="12"/>
  <c r="C9" i="12"/>
  <c r="C10" i="12"/>
  <c r="C11" i="12"/>
  <c r="C12" i="12"/>
  <c r="C13" i="12"/>
  <c r="C14" i="12"/>
  <c r="C15" i="12"/>
  <c r="C16" i="12"/>
  <c r="C17" i="12"/>
  <c r="C18" i="12"/>
  <c r="C19" i="12"/>
  <c r="C20" i="12"/>
  <c r="C21" i="12"/>
  <c r="C22" i="12"/>
  <c r="C23" i="12"/>
  <c r="C24" i="12"/>
  <c r="C25" i="12"/>
  <c r="C26" i="12"/>
  <c r="C27" i="12"/>
  <c r="C3" i="12"/>
  <c r="E8" i="4"/>
  <c r="E9" i="4"/>
  <c r="E10" i="4"/>
  <c r="E11" i="4"/>
  <c r="E12" i="4"/>
  <c r="E13" i="4"/>
  <c r="E14" i="4"/>
  <c r="E16" i="4"/>
  <c r="E17" i="4"/>
  <c r="E18" i="4"/>
  <c r="E19" i="4"/>
  <c r="E20" i="4"/>
  <c r="E22" i="4"/>
  <c r="E23" i="4"/>
  <c r="E25" i="4"/>
  <c r="E26" i="4"/>
  <c r="E27" i="4"/>
  <c r="E28" i="4"/>
  <c r="E29" i="4"/>
  <c r="E30" i="4"/>
  <c r="E31" i="4"/>
  <c r="E32" i="4"/>
  <c r="E34" i="4"/>
  <c r="E35" i="4"/>
  <c r="E7" i="4"/>
  <c r="B39"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 i="12"/>
  <c r="N12" i="9"/>
  <c r="N11" i="9"/>
  <c r="D8" i="9"/>
  <c r="E8" i="9" s="1"/>
  <c r="D9" i="9"/>
  <c r="E9" i="9" s="1"/>
  <c r="L8" i="2"/>
  <c r="L9" i="2"/>
  <c r="T10" i="2"/>
  <c r="T11" i="2"/>
  <c r="T15" i="2"/>
  <c r="T16" i="2"/>
  <c r="T21" i="2"/>
  <c r="T22" i="2"/>
  <c r="T27" i="2"/>
  <c r="T28" i="2"/>
  <c r="T30" i="2"/>
  <c r="T31" i="2"/>
  <c r="T33" i="2"/>
  <c r="T34" i="2"/>
  <c r="T35" i="2"/>
  <c r="T37" i="2"/>
  <c r="T38" i="2"/>
  <c r="T40" i="2"/>
  <c r="T41" i="2"/>
  <c r="T43" i="2"/>
  <c r="T45" i="2"/>
  <c r="T46" i="2"/>
  <c r="T51" i="2"/>
  <c r="T52" i="2"/>
  <c r="S8" i="2"/>
  <c r="S9" i="2"/>
  <c r="S10" i="2"/>
  <c r="S11" i="2"/>
  <c r="S15" i="2"/>
  <c r="S16" i="2"/>
  <c r="S18" i="2"/>
  <c r="S21" i="2"/>
  <c r="S22" i="2"/>
  <c r="S24" i="2"/>
  <c r="S27" i="2"/>
  <c r="S28" i="2"/>
  <c r="S30" i="2"/>
  <c r="S31" i="2"/>
  <c r="S33" i="2"/>
  <c r="S34" i="2"/>
  <c r="S35" i="2"/>
  <c r="S37" i="2"/>
  <c r="S38" i="2"/>
  <c r="S41" i="2"/>
  <c r="S43" i="2"/>
  <c r="S45" i="2"/>
  <c r="S46" i="2"/>
  <c r="S48" i="2"/>
  <c r="S50" i="2"/>
  <c r="S51" i="2"/>
  <c r="S52" i="2"/>
  <c r="Q7" i="2"/>
  <c r="Q8" i="2"/>
  <c r="Q9" i="2"/>
  <c r="Q10" i="2"/>
  <c r="Q11" i="2"/>
  <c r="Q12" i="2"/>
  <c r="Q14" i="2"/>
  <c r="Q15" i="2"/>
  <c r="Q16" i="2"/>
  <c r="Q17" i="2"/>
  <c r="Q18" i="2"/>
  <c r="Q19" i="2"/>
  <c r="Q20" i="2"/>
  <c r="Q21" i="2"/>
  <c r="Q22" i="2"/>
  <c r="Q23" i="2"/>
  <c r="Q24" i="2"/>
  <c r="Q25" i="2"/>
  <c r="Q26" i="2"/>
  <c r="Q27" i="2"/>
  <c r="Q28" i="2"/>
  <c r="Q30" i="2"/>
  <c r="Q31" i="2"/>
  <c r="Q33" i="2"/>
  <c r="Q34" i="2"/>
  <c r="Q35" i="2"/>
  <c r="Q37" i="2"/>
  <c r="Q38" i="2"/>
  <c r="Q40" i="2"/>
  <c r="Q41" i="2"/>
  <c r="Q43" i="2"/>
  <c r="Q45" i="2"/>
  <c r="Q46" i="2"/>
  <c r="Q48" i="2"/>
  <c r="Q49" i="2"/>
  <c r="Q50" i="2"/>
  <c r="Q51" i="2"/>
  <c r="Q52" i="2"/>
  <c r="O7" i="2"/>
  <c r="O8" i="2"/>
  <c r="O9" i="2"/>
  <c r="O10" i="2"/>
  <c r="O11" i="2"/>
  <c r="O12" i="2"/>
  <c r="O14" i="2"/>
  <c r="O15" i="2"/>
  <c r="O16" i="2"/>
  <c r="O17" i="2"/>
  <c r="O18" i="2"/>
  <c r="O19" i="2"/>
  <c r="O20" i="2"/>
  <c r="O21" i="2"/>
  <c r="O22" i="2"/>
  <c r="O23" i="2"/>
  <c r="O24" i="2"/>
  <c r="O25" i="2"/>
  <c r="O26" i="2"/>
  <c r="O27" i="2"/>
  <c r="O28" i="2"/>
  <c r="O30" i="2"/>
  <c r="O31" i="2"/>
  <c r="O33" i="2"/>
  <c r="O34" i="2"/>
  <c r="O35" i="2"/>
  <c r="O37" i="2"/>
  <c r="O38" i="2"/>
  <c r="O40" i="2"/>
  <c r="O41" i="2"/>
  <c r="O43" i="2"/>
  <c r="O45" i="2"/>
  <c r="O46" i="2"/>
  <c r="O48" i="2"/>
  <c r="O49" i="2"/>
  <c r="O50" i="2"/>
  <c r="O51" i="2"/>
  <c r="O52" i="2"/>
  <c r="E8" i="2"/>
  <c r="E9" i="2"/>
  <c r="E10" i="2"/>
  <c r="E11" i="2"/>
  <c r="E12" i="2"/>
  <c r="E14" i="2"/>
  <c r="E15" i="2"/>
  <c r="E16" i="2"/>
  <c r="E17" i="2"/>
  <c r="E18" i="2"/>
  <c r="E19" i="2"/>
  <c r="E20" i="2"/>
  <c r="E21" i="2"/>
  <c r="E22" i="2"/>
  <c r="E23" i="2"/>
  <c r="E24" i="2"/>
  <c r="E25" i="2"/>
  <c r="E26" i="2"/>
  <c r="E27" i="2"/>
  <c r="E28" i="2"/>
  <c r="E30" i="2"/>
  <c r="E31" i="2"/>
  <c r="E33" i="2"/>
  <c r="E35" i="2"/>
  <c r="E37" i="2"/>
  <c r="E38" i="2"/>
  <c r="E40" i="2"/>
  <c r="E41" i="2"/>
  <c r="E43" i="2"/>
  <c r="E45" i="2"/>
  <c r="E46" i="2"/>
  <c r="E48" i="2"/>
  <c r="E49" i="2"/>
  <c r="E50" i="2"/>
  <c r="E51" i="2"/>
  <c r="E52" i="2"/>
  <c r="E7" i="2"/>
  <c r="R2" i="9"/>
  <c r="Q2" i="11"/>
  <c r="W2" i="2"/>
  <c r="Q2" i="2"/>
  <c r="B56" i="7"/>
  <c r="B55" i="7"/>
  <c r="B54" i="7"/>
  <c r="B47" i="1"/>
  <c r="B46" i="1"/>
  <c r="B48" i="1" s="1"/>
  <c r="B57" i="2"/>
  <c r="B56" i="2"/>
  <c r="B58" i="2" s="1"/>
  <c r="B39" i="4"/>
  <c r="B38" i="4"/>
  <c r="B55" i="11"/>
  <c r="B54" i="11"/>
  <c r="B56" i="11" s="1"/>
  <c r="C28" i="9"/>
  <c r="C27" i="9"/>
  <c r="C8" i="9"/>
  <c r="C9" i="9"/>
  <c r="C10" i="9"/>
  <c r="C14" i="9" s="1"/>
  <c r="C7" i="9"/>
  <c r="C14" i="11"/>
  <c r="C18" i="11" s="1"/>
  <c r="C16" i="11"/>
  <c r="C13" i="11"/>
  <c r="C12" i="11"/>
  <c r="C11" i="11"/>
  <c r="C10" i="11"/>
  <c r="C9" i="11"/>
  <c r="C8" i="11"/>
  <c r="C7" i="11"/>
  <c r="C13" i="7"/>
  <c r="C16" i="7"/>
  <c r="C14" i="7"/>
  <c r="C6" i="7"/>
  <c r="C18" i="7"/>
  <c r="C20" i="7"/>
  <c r="L6" i="8"/>
  <c r="T48" i="2" l="1"/>
  <c r="T23" i="2"/>
  <c r="S23" i="2"/>
  <c r="T17" i="2"/>
  <c r="T14" i="2"/>
  <c r="S26" i="2"/>
  <c r="S20" i="2"/>
  <c r="S25" i="2"/>
  <c r="S19" i="2"/>
  <c r="T12" i="2"/>
  <c r="S7" i="2"/>
  <c r="D14" i="9"/>
  <c r="E14" i="9" s="1"/>
  <c r="C13" i="9"/>
  <c r="D7" i="9"/>
  <c r="E7" i="9" s="1"/>
  <c r="D10" i="9"/>
  <c r="E10" i="9" s="1"/>
  <c r="C29" i="9"/>
  <c r="C20" i="11"/>
  <c r="C21" i="11"/>
  <c r="C23" i="11"/>
  <c r="C22" i="11"/>
  <c r="C17" i="11"/>
  <c r="B40" i="4"/>
  <c r="C21" i="9"/>
  <c r="C22" i="9"/>
  <c r="C24" i="9"/>
  <c r="D24" i="9" s="1"/>
  <c r="E24" i="9" s="1"/>
  <c r="C23" i="9"/>
  <c r="C16" i="9"/>
  <c r="C17" i="9"/>
  <c r="C19" i="9"/>
  <c r="C20" i="9"/>
  <c r="C18" i="9"/>
  <c r="C12" i="9"/>
  <c r="D12" i="9" s="1"/>
  <c r="E12" i="9" s="1"/>
  <c r="C7" i="7"/>
  <c r="C8" i="7"/>
  <c r="C9" i="7"/>
  <c r="C10" i="7"/>
  <c r="C11" i="7"/>
  <c r="C12" i="7"/>
  <c r="C11" i="5"/>
  <c r="C8" i="4"/>
  <c r="C9" i="4"/>
  <c r="C10" i="4"/>
  <c r="C11" i="4"/>
  <c r="C12" i="4"/>
  <c r="C13" i="4"/>
  <c r="C14" i="4"/>
  <c r="C7" i="4"/>
  <c r="D16" i="9" l="1"/>
  <c r="E16" i="9" s="1"/>
  <c r="D23" i="9"/>
  <c r="E23" i="9" s="1"/>
  <c r="D18" i="9"/>
  <c r="E18" i="9" s="1"/>
  <c r="D20" i="9"/>
  <c r="E20" i="9" s="1"/>
  <c r="D22" i="9"/>
  <c r="E22" i="9" s="1"/>
  <c r="D19" i="9"/>
  <c r="E19" i="9" s="1"/>
  <c r="D21" i="9"/>
  <c r="E21" i="9" s="1"/>
  <c r="D13" i="9"/>
  <c r="E13" i="9" s="1"/>
  <c r="D17" i="9"/>
  <c r="E17" i="9" s="1"/>
  <c r="D23" i="11"/>
  <c r="E23" i="11" s="1"/>
  <c r="D17" i="12" s="1"/>
  <c r="D21" i="11"/>
  <c r="E21" i="11" s="1"/>
  <c r="D15" i="12" s="1"/>
  <c r="C27" i="11"/>
  <c r="C26" i="11"/>
  <c r="C25" i="11"/>
  <c r="D20" i="11" s="1"/>
  <c r="E20" i="11" s="1"/>
  <c r="D14" i="12" s="1"/>
  <c r="C28" i="11"/>
  <c r="C29" i="11"/>
  <c r="D29" i="11" s="1"/>
  <c r="E29" i="11" s="1"/>
  <c r="D22" i="12" s="1"/>
  <c r="C19" i="4"/>
  <c r="C16" i="4"/>
  <c r="C18" i="4"/>
  <c r="C17" i="4"/>
  <c r="C17" i="7"/>
  <c r="C20" i="4"/>
  <c r="C8" i="2"/>
  <c r="D8" i="2" s="1"/>
  <c r="C9" i="2"/>
  <c r="C10" i="2"/>
  <c r="D10" i="2" s="1"/>
  <c r="C11" i="2"/>
  <c r="C12" i="2"/>
  <c r="C7" i="2"/>
  <c r="D7" i="2" s="1"/>
  <c r="C8" i="1"/>
  <c r="C9" i="1"/>
  <c r="C10" i="1"/>
  <c r="C11" i="1"/>
  <c r="C12" i="1"/>
  <c r="C13" i="1"/>
  <c r="C14" i="1"/>
  <c r="C7" i="1"/>
  <c r="D26" i="11" l="1"/>
  <c r="E26" i="11" s="1"/>
  <c r="D19" i="12" s="1"/>
  <c r="D27" i="11"/>
  <c r="E27" i="11" s="1"/>
  <c r="D20" i="12" s="1"/>
  <c r="D13" i="11"/>
  <c r="E13" i="11" s="1"/>
  <c r="D9" i="12" s="1"/>
  <c r="D25" i="11"/>
  <c r="E25" i="11" s="1"/>
  <c r="D18" i="12" s="1"/>
  <c r="D11" i="11"/>
  <c r="E11" i="11" s="1"/>
  <c r="D7" i="12" s="1"/>
  <c r="D12" i="11"/>
  <c r="E12" i="11" s="1"/>
  <c r="D8" i="12" s="1"/>
  <c r="D16" i="11"/>
  <c r="E16" i="11" s="1"/>
  <c r="D11" i="12" s="1"/>
  <c r="D14" i="11"/>
  <c r="E14" i="11" s="1"/>
  <c r="D10" i="12" s="1"/>
  <c r="D9" i="11"/>
  <c r="E9" i="11" s="1"/>
  <c r="D5" i="12" s="1"/>
  <c r="D7" i="11"/>
  <c r="E7" i="11" s="1"/>
  <c r="D3" i="12" s="1"/>
  <c r="D8" i="11"/>
  <c r="E8" i="11" s="1"/>
  <c r="D4" i="12" s="1"/>
  <c r="D18" i="11"/>
  <c r="E18" i="11" s="1"/>
  <c r="D13" i="12" s="1"/>
  <c r="D10" i="11"/>
  <c r="E10" i="11" s="1"/>
  <c r="D6" i="12" s="1"/>
  <c r="D22" i="11"/>
  <c r="E22" i="11" s="1"/>
  <c r="D16" i="12" s="1"/>
  <c r="D28" i="11"/>
  <c r="E28" i="11" s="1"/>
  <c r="D21" i="12" s="1"/>
  <c r="D17" i="11"/>
  <c r="E17" i="11" s="1"/>
  <c r="D12" i="12" s="1"/>
  <c r="C16" i="1"/>
  <c r="D12" i="2"/>
  <c r="D11" i="2"/>
  <c r="D9" i="2"/>
  <c r="C33" i="11"/>
  <c r="D33" i="11" s="1"/>
  <c r="E33" i="11" s="1"/>
  <c r="D25" i="12" s="1"/>
  <c r="C32" i="11"/>
  <c r="C31" i="11"/>
  <c r="C18" i="2"/>
  <c r="D18" i="2" s="1"/>
  <c r="C17" i="2"/>
  <c r="D17" i="2" s="1"/>
  <c r="C20" i="2"/>
  <c r="D20" i="2" s="1"/>
  <c r="C21" i="2"/>
  <c r="D21" i="2" s="1"/>
  <c r="C25" i="2"/>
  <c r="D25" i="2" s="1"/>
  <c r="C28" i="2"/>
  <c r="D28" i="2" s="1"/>
  <c r="C14" i="2"/>
  <c r="D14" i="2" s="1"/>
  <c r="C24" i="2"/>
  <c r="C16" i="2"/>
  <c r="D16" i="2" s="1"/>
  <c r="C23" i="2"/>
  <c r="D23" i="2" s="1"/>
  <c r="C15" i="2"/>
  <c r="D15" i="2" s="1"/>
  <c r="C22" i="2"/>
  <c r="D22" i="2" s="1"/>
  <c r="C23" i="4"/>
  <c r="C22" i="4"/>
  <c r="C21" i="7"/>
  <c r="C22" i="7"/>
  <c r="C23" i="7"/>
  <c r="C27" i="2"/>
  <c r="D27" i="2" s="1"/>
  <c r="C19" i="2"/>
  <c r="D19" i="2" s="1"/>
  <c r="C26" i="2"/>
  <c r="D26" i="2" s="1"/>
  <c r="D31" i="11" l="1"/>
  <c r="E31" i="11" s="1"/>
  <c r="D23" i="12" s="1"/>
  <c r="D32" i="11"/>
  <c r="E32" i="11" s="1"/>
  <c r="D24" i="12" s="1"/>
  <c r="C35" i="11"/>
  <c r="C18" i="1"/>
  <c r="C21" i="1"/>
  <c r="C20" i="1"/>
  <c r="C19" i="1"/>
  <c r="C22" i="1"/>
  <c r="C24" i="1" s="1"/>
  <c r="D24" i="2"/>
  <c r="C36" i="11"/>
  <c r="C30" i="2"/>
  <c r="D30" i="2" s="1"/>
  <c r="C31" i="2"/>
  <c r="D31" i="2" s="1"/>
  <c r="C26" i="4"/>
  <c r="C29" i="4"/>
  <c r="C25" i="4"/>
  <c r="C27" i="4"/>
  <c r="C28" i="4"/>
  <c r="C30" i="4"/>
  <c r="C31" i="4"/>
  <c r="C32" i="4"/>
  <c r="C26" i="7"/>
  <c r="C27" i="7"/>
  <c r="C29" i="7"/>
  <c r="C28" i="7"/>
  <c r="C25" i="7"/>
  <c r="D36" i="11" l="1"/>
  <c r="E36" i="11" s="1"/>
  <c r="D27" i="12" s="1"/>
  <c r="D35" i="11"/>
  <c r="E35" i="11" s="1"/>
  <c r="D26" i="12" s="1"/>
  <c r="D27" i="4"/>
  <c r="D33" i="4"/>
  <c r="D32" i="4"/>
  <c r="D13" i="4"/>
  <c r="D14" i="4"/>
  <c r="D8" i="4"/>
  <c r="D11" i="4"/>
  <c r="D10" i="4"/>
  <c r="D9" i="4"/>
  <c r="D12" i="4"/>
  <c r="D7" i="4"/>
  <c r="D17" i="4"/>
  <c r="D19" i="4"/>
  <c r="D20" i="4"/>
  <c r="D16" i="4"/>
  <c r="D18" i="4"/>
  <c r="D25" i="4"/>
  <c r="D29" i="4"/>
  <c r="D31" i="4"/>
  <c r="D26" i="4"/>
  <c r="D30" i="4"/>
  <c r="D23" i="4"/>
  <c r="D28" i="4"/>
  <c r="D22" i="4"/>
  <c r="C26" i="1"/>
  <c r="C25" i="1"/>
  <c r="C27" i="1"/>
  <c r="C29" i="1" s="1"/>
  <c r="C33" i="2"/>
  <c r="D33" i="2" s="1"/>
  <c r="C39" i="11"/>
  <c r="C38" i="11"/>
  <c r="C35" i="4"/>
  <c r="D35" i="4" s="1"/>
  <c r="C34" i="4"/>
  <c r="D34" i="4" s="1"/>
  <c r="C32" i="7"/>
  <c r="C33" i="7"/>
  <c r="C31" i="7"/>
  <c r="C34" i="1" l="1"/>
  <c r="D38" i="11"/>
  <c r="E38" i="11" s="1"/>
  <c r="D28" i="12" s="1"/>
  <c r="D39" i="11"/>
  <c r="E39" i="11" s="1"/>
  <c r="D29" i="12" s="1"/>
  <c r="G12" i="4"/>
  <c r="G11" i="4"/>
  <c r="D29" i="1"/>
  <c r="E29" i="1" s="1"/>
  <c r="A21" i="12" s="1"/>
  <c r="D34" i="1"/>
  <c r="E34" i="1" s="1"/>
  <c r="A26" i="12" s="1"/>
  <c r="D14" i="1"/>
  <c r="E14" i="1" s="1"/>
  <c r="D7" i="1"/>
  <c r="E7" i="1" s="1"/>
  <c r="A3" i="12" s="1"/>
  <c r="D8" i="1"/>
  <c r="E8" i="1" s="1"/>
  <c r="D9" i="1"/>
  <c r="E9" i="1" s="1"/>
  <c r="D13" i="1"/>
  <c r="E13" i="1" s="1"/>
  <c r="D12" i="1"/>
  <c r="E12" i="1" s="1"/>
  <c r="D11" i="1"/>
  <c r="E11" i="1" s="1"/>
  <c r="D10" i="1"/>
  <c r="E10" i="1" s="1"/>
  <c r="D16" i="1"/>
  <c r="E16" i="1" s="1"/>
  <c r="D18" i="1"/>
  <c r="E18" i="1" s="1"/>
  <c r="D21" i="1"/>
  <c r="E21" i="1" s="1"/>
  <c r="D22" i="1"/>
  <c r="E22" i="1" s="1"/>
  <c r="D19" i="1"/>
  <c r="E19" i="1" s="1"/>
  <c r="D27" i="1"/>
  <c r="E27" i="1" s="1"/>
  <c r="D25" i="1"/>
  <c r="E25" i="1" s="1"/>
  <c r="C32" i="1"/>
  <c r="D20" i="1"/>
  <c r="E20" i="1" s="1"/>
  <c r="C37" i="1"/>
  <c r="C41" i="1" s="1"/>
  <c r="C36" i="1"/>
  <c r="C31" i="1"/>
  <c r="C35" i="1"/>
  <c r="C30" i="1"/>
  <c r="D30" i="1" s="1"/>
  <c r="E30" i="1" s="1"/>
  <c r="A22" i="12" s="1"/>
  <c r="D26" i="1"/>
  <c r="E26" i="1" s="1"/>
  <c r="D24" i="1"/>
  <c r="E24" i="1" s="1"/>
  <c r="C33" i="1"/>
  <c r="C35" i="2"/>
  <c r="D35" i="2" s="1"/>
  <c r="C41" i="11"/>
  <c r="C43" i="11"/>
  <c r="C42" i="11"/>
  <c r="C40" i="1"/>
  <c r="C42" i="1"/>
  <c r="C43" i="1"/>
  <c r="C39" i="1"/>
  <c r="C36" i="7"/>
  <c r="C35" i="7"/>
  <c r="A19" i="12" l="1"/>
  <c r="A18" i="12"/>
  <c r="A14" i="12"/>
  <c r="A9" i="12"/>
  <c r="A12" i="12"/>
  <c r="A13" i="12"/>
  <c r="A15" i="12"/>
  <c r="A5" i="12"/>
  <c r="A11" i="12"/>
  <c r="A4" i="12"/>
  <c r="A20" i="12"/>
  <c r="A6" i="12"/>
  <c r="A7" i="12"/>
  <c r="A10" i="12"/>
  <c r="A17" i="12"/>
  <c r="A16" i="12"/>
  <c r="A8" i="12"/>
  <c r="D41" i="11"/>
  <c r="E41" i="11" s="1"/>
  <c r="D30" i="12" s="1"/>
  <c r="D43" i="11"/>
  <c r="E43" i="11" s="1"/>
  <c r="D32" i="12" s="1"/>
  <c r="D42" i="11"/>
  <c r="E42" i="11" s="1"/>
  <c r="D31" i="12" s="1"/>
  <c r="D31" i="1"/>
  <c r="E31" i="1" s="1"/>
  <c r="A23" i="12" s="1"/>
  <c r="D33" i="1"/>
  <c r="E33" i="1" s="1"/>
  <c r="A25" i="12" s="1"/>
  <c r="D36" i="1"/>
  <c r="E36" i="1" s="1"/>
  <c r="D42" i="1"/>
  <c r="E42" i="1" s="1"/>
  <c r="A33" i="12" s="1"/>
  <c r="D32" i="1"/>
  <c r="E32" i="1" s="1"/>
  <c r="A24" i="12" s="1"/>
  <c r="D40" i="1"/>
  <c r="E40" i="1" s="1"/>
  <c r="D39" i="1"/>
  <c r="E39" i="1" s="1"/>
  <c r="A30" i="12" s="1"/>
  <c r="D35" i="1"/>
  <c r="E35" i="1" s="1"/>
  <c r="D41" i="1"/>
  <c r="E41" i="1" s="1"/>
  <c r="A32" i="12" s="1"/>
  <c r="D43" i="1"/>
  <c r="E43" i="1" s="1"/>
  <c r="A34" i="12" s="1"/>
  <c r="D37" i="1"/>
  <c r="E37" i="1" s="1"/>
  <c r="C37" i="2"/>
  <c r="D37" i="2" s="1"/>
  <c r="C38" i="2"/>
  <c r="D38" i="2" s="1"/>
  <c r="C50" i="11"/>
  <c r="C49" i="11"/>
  <c r="C48" i="11"/>
  <c r="C47" i="11"/>
  <c r="C46" i="11"/>
  <c r="C45" i="11"/>
  <c r="C39" i="7"/>
  <c r="C38" i="7"/>
  <c r="A28" i="12" l="1"/>
  <c r="A29" i="12"/>
  <c r="H9" i="1"/>
  <c r="A27" i="12"/>
  <c r="A31" i="12"/>
  <c r="D50" i="11"/>
  <c r="E50" i="11" s="1"/>
  <c r="D38" i="12" s="1"/>
  <c r="D45" i="11"/>
  <c r="E45" i="11" s="1"/>
  <c r="D33" i="12" s="1"/>
  <c r="D46" i="11"/>
  <c r="E46" i="11" s="1"/>
  <c r="D34" i="12" s="1"/>
  <c r="D47" i="11"/>
  <c r="E47" i="11" s="1"/>
  <c r="D35" i="12" s="1"/>
  <c r="D48" i="11"/>
  <c r="E48" i="11" s="1"/>
  <c r="D36" i="12" s="1"/>
  <c r="D49" i="11"/>
  <c r="E49" i="11" s="1"/>
  <c r="D37" i="12" s="1"/>
  <c r="H8" i="1"/>
  <c r="C40" i="2"/>
  <c r="D40" i="2" s="1"/>
  <c r="C41" i="2"/>
  <c r="D41" i="2" s="1"/>
  <c r="C41" i="7"/>
  <c r="C42" i="7"/>
  <c r="C43" i="7"/>
  <c r="L8" i="11" l="1"/>
  <c r="L9" i="11"/>
  <c r="C43" i="2"/>
  <c r="D43" i="2" s="1"/>
  <c r="C46" i="7"/>
  <c r="C47" i="7"/>
  <c r="C48" i="7"/>
  <c r="C49" i="7"/>
  <c r="C50" i="7"/>
  <c r="C45" i="7"/>
  <c r="C46" i="2" l="1"/>
  <c r="D46" i="2" s="1"/>
  <c r="C45" i="2"/>
  <c r="D45" i="2" s="1"/>
  <c r="C52" i="2" l="1"/>
  <c r="D52" i="2" s="1"/>
  <c r="C48" i="2"/>
  <c r="D48" i="2" s="1"/>
  <c r="C49" i="2"/>
  <c r="D49" i="2" s="1"/>
  <c r="C50" i="2"/>
  <c r="D50" i="2" s="1"/>
  <c r="C51" i="2"/>
  <c r="D5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<sst xmlns="http://schemas.openxmlformats.org/spreadsheetml/2006/main" count="1105" uniqueCount="631">
  <si>
    <t>Site:</t>
  </si>
  <si>
    <t>GR/19</t>
  </si>
  <si>
    <t>Date:</t>
  </si>
  <si>
    <t>5/11/19 (afternoon)</t>
  </si>
  <si>
    <t>What:</t>
  </si>
  <si>
    <t>Leveling GR environmental zones and core</t>
  </si>
  <si>
    <t>Type</t>
  </si>
  <si>
    <t>Reading (m)</t>
  </si>
  <si>
    <t>Reduced level</t>
  </si>
  <si>
    <t>Environment/Notes</t>
  </si>
  <si>
    <t>BS to St 1</t>
  </si>
  <si>
    <t>Halimeda mud/mudflat</t>
  </si>
  <si>
    <t>FS to St 2</t>
  </si>
  <si>
    <t>On Rhizo root mat (maybe not peat forming), edge of fringe</t>
  </si>
  <si>
    <t>FS to St 3</t>
  </si>
  <si>
    <t>"" into fringe, leaves and organics, probably peat-forming edge</t>
  </si>
  <si>
    <t>FS to St 4</t>
  </si>
  <si>
    <t>peat-forming Rhizo fringe (canopy ~5 m)</t>
  </si>
  <si>
    <t>FS to St 5</t>
  </si>
  <si>
    <t>""</t>
  </si>
  <si>
    <t>FS to St 6</t>
  </si>
  <si>
    <t>FS to St 7</t>
  </si>
  <si>
    <t>FS to St 8</t>
  </si>
  <si>
    <t>FS to St 9</t>
  </si>
  <si>
    <t>"" at boundary with scrub dieback</t>
  </si>
  <si>
    <t>BS to St 9</t>
  </si>
  <si>
    <t>FS to St 10</t>
  </si>
  <si>
    <t>fully into scrub/basin dwarf (canopy ~2 m)</t>
  </si>
  <si>
    <t>BS to St 10</t>
  </si>
  <si>
    <t>FS to St 11</t>
  </si>
  <si>
    <t>FS to St 12</t>
  </si>
  <si>
    <t>FS to St 13</t>
  </si>
  <si>
    <t>FS to St 14</t>
  </si>
  <si>
    <t>FS to St 15</t>
  </si>
  <si>
    <t>BS to St 15</t>
  </si>
  <si>
    <t>FS to St 16</t>
  </si>
  <si>
    <t>into transition to area with tall (~3 m) Rhizo</t>
  </si>
  <si>
    <t>FS to St 17</t>
  </si>
  <si>
    <t>fully into tall Rhizo</t>
  </si>
  <si>
    <t>FS to St 18</t>
  </si>
  <si>
    <t>FS to St 19</t>
  </si>
  <si>
    <t>on boundary with depression/zone of peat collapse</t>
  </si>
  <si>
    <t>BS to St 19</t>
  </si>
  <si>
    <t>FS to edge of flooded dwarf</t>
  </si>
  <si>
    <t>FS to flooded dwarf 1</t>
  </si>
  <si>
    <t>FS to flooded dwarf 2</t>
  </si>
  <si>
    <t>FS to flooded dwarf 3</t>
  </si>
  <si>
    <t>FS to other edge of flooded dwarf</t>
  </si>
  <si>
    <t>FS to base station</t>
  </si>
  <si>
    <t>FS to St 20</t>
  </si>
  <si>
    <t>into peat-forming dwarf</t>
  </si>
  <si>
    <t>FS to St 21</t>
  </si>
  <si>
    <t>peat-forming dwarf</t>
  </si>
  <si>
    <t>FS to t 22</t>
  </si>
  <si>
    <t>in transition to fringe (still dwarf)</t>
  </si>
  <si>
    <t>BS to St 22</t>
  </si>
  <si>
    <t>FS to GR/19/C1</t>
  </si>
  <si>
    <t>FS to St 23</t>
  </si>
  <si>
    <t>fully into channel-side Rhizo fringe (peat-forming)</t>
  </si>
  <si>
    <t>FS to top of WL logger</t>
  </si>
  <si>
    <t>FS to St 24</t>
  </si>
  <si>
    <t>at mangrove platform edge (root mat)</t>
  </si>
  <si>
    <t>FS to St 25</t>
  </si>
  <si>
    <t>carbonate sand</t>
  </si>
  <si>
    <t>OS/19</t>
  </si>
  <si>
    <t>Leveling OS environmental zones and strat transect</t>
  </si>
  <si>
    <t>below mangrove platform edge, organic rich carbonate mud</t>
  </si>
  <si>
    <t>into red mangrove fringe on platform, peat-forming mangrove</t>
  </si>
  <si>
    <t>same as last, in dense roots at channel fringe (4 m canopy)</t>
  </si>
  <si>
    <t>transition to scrub dieback, canopy 2-3 m, peat forming</t>
  </si>
  <si>
    <t>same as last, canopy 1-2 m</t>
  </si>
  <si>
    <t>fully into dwarf zone, peat forming</t>
  </si>
  <si>
    <t>FS to TBM</t>
  </si>
  <si>
    <t>Tanghua to set up RTK Rover here</t>
  </si>
  <si>
    <t>BS to TBM</t>
  </si>
  <si>
    <t>FS to C1</t>
  </si>
  <si>
    <t>getting into flooded dwarf zone with jelly fish</t>
  </si>
  <si>
    <t>into denser, firmer ground</t>
  </si>
  <si>
    <t>FS to C2</t>
  </si>
  <si>
    <t>FS</t>
  </si>
  <si>
    <t>no sample, into deeper water near pond</t>
  </si>
  <si>
    <t>BS</t>
  </si>
  <si>
    <t>height of nconsolidated algal/microbial mat surface in open pond (exposed at low tide)</t>
  </si>
  <si>
    <t>into peat forming env again, red, black, and white mangroves in basin zone</t>
  </si>
  <si>
    <t>further into basin with big black trees</t>
  </si>
  <si>
    <t>BS to St 20</t>
  </si>
  <si>
    <t>big blacks and ~-m reds, peat forming</t>
  </si>
  <si>
    <t>BS to St 21</t>
  </si>
  <si>
    <t>FS to C3</t>
  </si>
  <si>
    <t>FS to St 22</t>
  </si>
  <si>
    <t>same as last, fewer blacks</t>
  </si>
  <si>
    <t>still in basin, Rhizo canopy ~ 1 m, few blacks</t>
  </si>
  <si>
    <t>same as last</t>
  </si>
  <si>
    <t>BS to St 24</t>
  </si>
  <si>
    <t>in transition from basin to fringe</t>
  </si>
  <si>
    <t>FS to St 26</t>
  </si>
  <si>
    <t>fully into peat-forming fringe Rhizo</t>
  </si>
  <si>
    <t>BS to St 26</t>
  </si>
  <si>
    <t>FS to St 27</t>
  </si>
  <si>
    <t>FS to St 28</t>
  </si>
  <si>
    <t>FS to St 29</t>
  </si>
  <si>
    <t>on edge of Rhizo fringe with open water in inlet</t>
  </si>
  <si>
    <t>FS to St 30</t>
  </si>
  <si>
    <t>in open water, channel much/microbial mat substrte (stuff I was in chest deep when tying up boat)</t>
  </si>
  <si>
    <t>FS to C4</t>
  </si>
  <si>
    <t>BE/19</t>
  </si>
  <si>
    <t>5/14/19-5/15/19</t>
  </si>
  <si>
    <t>Leveling BE environmental zones and strat transect</t>
  </si>
  <si>
    <t>Just outside of fringe near entrace to channel, substrate fine carbonate sand with detrital organics</t>
  </si>
  <si>
    <t>Substrate same as last, moved into edge of red fringe</t>
  </si>
  <si>
    <t>substrate dense root mat withh sand and algae accumulating at surface</t>
  </si>
  <si>
    <t>substrate sandy peat with algal mat</t>
  </si>
  <si>
    <t>same as St 5 with more organic debris (leaves, bark) accummulating at surface</t>
  </si>
  <si>
    <t>boundary between fringe and basin, substrate - peat accumulating with leaves and organic matter, no mat</t>
  </si>
  <si>
    <t>mixed species basin, thick accumulations of organic matter, sea grass and algae washed in with leaves, no root mat</t>
  </si>
  <si>
    <t>less thick pile of organic matter, was 10-15 cm at 8 and 9, now ~ 5 cm, Rhizo dominated</t>
  </si>
  <si>
    <t>same as St 10 with some black and white pneumos</t>
  </si>
  <si>
    <t>same as St 11, transitioning to lower Rhizo canopy and higher blacks (4 m)</t>
  </si>
  <si>
    <t>denser 4-5 m black mangroves and 2-3 Rhizos, humic accumulation thinner ~0-2 cm</t>
  </si>
  <si>
    <t>BS to St 13</t>
  </si>
  <si>
    <t>same depositional env as St 13 with fewer black trees</t>
  </si>
  <si>
    <t>transitioned from mixed species to all Rhizos - canopy ~ 2 m</t>
  </si>
  <si>
    <t>substrate dense root mat with 1-2 mm of humic organic material at surface</t>
  </si>
  <si>
    <t>less dense dwarf Rhizo basin, thick dense root mat as substrate</t>
  </si>
  <si>
    <t xml:space="preserve">FS to St 18 </t>
  </si>
  <si>
    <t>same as St 17</t>
  </si>
  <si>
    <t>FS to BE/19/C1</t>
  </si>
  <si>
    <t>FS to ROVER</t>
  </si>
  <si>
    <t>BS to ROVER</t>
  </si>
  <si>
    <t>FS to BE/19/C2</t>
  </si>
  <si>
    <t>FS to BE/19/C3</t>
  </si>
  <si>
    <t>BB/19</t>
  </si>
  <si>
    <t>Leveling and sampling modern transect</t>
  </si>
  <si>
    <t>Dense algal layer over rooted surface, sea grass and organics just beyond fringe in channel</t>
  </si>
  <si>
    <t>same as st. 1</t>
  </si>
  <si>
    <t>into peat-forming boundary (bottom edge) in red fringe</t>
  </si>
  <si>
    <t>accumulation of leaf litter and sea grass at surface; black and white pneumos</t>
  </si>
  <si>
    <t>at back end of fringe; black and white pneumos present</t>
  </si>
  <si>
    <t>transition into dwarf basin; less dense root mat than in fringe</t>
  </si>
  <si>
    <t>same as st 9</t>
  </si>
  <si>
    <t>transition entering dwarf basin; substrate same as st 9; black pneumos but all Rhizo trees at ~2 m</t>
  </si>
  <si>
    <t>BS to St 12</t>
  </si>
  <si>
    <t>into dwarf basin; denser root mat than st 13</t>
  </si>
  <si>
    <t>into sparse dwarf pond</t>
  </si>
  <si>
    <t>BS to St 16</t>
  </si>
  <si>
    <t>FS to Rover</t>
  </si>
  <si>
    <t>all in dwarf pond zone</t>
  </si>
  <si>
    <t>FS to open pond</t>
  </si>
  <si>
    <t>open pond</t>
  </si>
  <si>
    <t>100% Rhizo basin ~2m; rooted peat and thin layer of mangrove detritis</t>
  </si>
  <si>
    <t>FS to Rhizo basin</t>
  </si>
  <si>
    <t>BS to Rhizo basin</t>
  </si>
  <si>
    <t>BS to St 23</t>
  </si>
  <si>
    <t>mixed species basin, black ~4 m Rhizo, Rhizo ~3m and turtle grass</t>
  </si>
  <si>
    <t>FS to mixed basin</t>
  </si>
  <si>
    <t>BS to mixed basin</t>
  </si>
  <si>
    <t>same as station 24 but no turtle grass</t>
  </si>
  <si>
    <t>back of fringe, transition from mixed species basin</t>
  </si>
  <si>
    <t>fully into fringe, little leaf litter but thick algal layer over root mat</t>
  </si>
  <si>
    <t>BS to St 27</t>
  </si>
  <si>
    <t>gnats are the WORST</t>
  </si>
  <si>
    <t>FS to St 31</t>
  </si>
  <si>
    <t>FS to St 32</t>
  </si>
  <si>
    <t>root mat that's been undercut above mat is carbonate sand layer</t>
  </si>
  <si>
    <t>FS to St 33</t>
  </si>
  <si>
    <t>fully out of fringe; rooted fine carbonate sand with organic debris</t>
  </si>
  <si>
    <t>CM/19</t>
  </si>
  <si>
    <t xml:space="preserve">Leveling modern transect and environmental zones </t>
  </si>
  <si>
    <t>Reading</t>
  </si>
  <si>
    <t>Notes</t>
  </si>
  <si>
    <t>BS to Rover</t>
  </si>
  <si>
    <t>FS to St 1</t>
  </si>
  <si>
    <t>In open pond</t>
  </si>
  <si>
    <t>In dwarf fringing pond, red algal mat on top of leaf layer, root mat (not so dense) below</t>
  </si>
  <si>
    <t>In the middle of inundated dwarf zone, still thick algal mat and leaf litter, starting to see balck pneumos</t>
  </si>
  <si>
    <t>BS to St 4</t>
  </si>
  <si>
    <t>Into back of monospecific black zone, think layer of green algae on peat surface (first peat-forming station)</t>
  </si>
  <si>
    <t>Into black zone, some Batis present nearby</t>
  </si>
  <si>
    <t>"" but no Batis</t>
  </si>
  <si>
    <t>BS to St 7</t>
  </si>
  <si>
    <t>In transition from black basin to Rhizo fringe</t>
  </si>
  <si>
    <t>In transition (on Rhizo side), still black pneumos, lots of trash accumulation here</t>
  </si>
  <si>
    <t>In fringe, in area of high tide accumulation</t>
  </si>
  <si>
    <t>In dense root mat</t>
  </si>
  <si>
    <t>"" green algae on mat</t>
  </si>
  <si>
    <t>root mat with carbonate sand on surface (seagrass groawing nearby)</t>
  </si>
  <si>
    <t>Just in Rhizo platform undercut near root, where wave-cut/under carbonate sand mat</t>
  </si>
  <si>
    <t xml:space="preserve">Oscar transect </t>
  </si>
  <si>
    <t>TS, JM, TL</t>
  </si>
  <si>
    <t>5/13/19</t>
  </si>
  <si>
    <t>Core 1</t>
  </si>
  <si>
    <t>Depth (cm)</t>
  </si>
  <si>
    <t>Description</t>
  </si>
  <si>
    <t>0-972</t>
  </si>
  <si>
    <t>Red mangrove peat</t>
  </si>
  <si>
    <t>972-990</t>
  </si>
  <si>
    <t>transition to intertidal mud</t>
  </si>
  <si>
    <t>990-1000</t>
  </si>
  <si>
    <t>intertidal mud</t>
  </si>
  <si>
    <t>Core 2</t>
  </si>
  <si>
    <t xml:space="preserve">0-725 </t>
  </si>
  <si>
    <t xml:space="preserve">725-767 </t>
  </si>
  <si>
    <t>Muddy mangrove peat</t>
  </si>
  <si>
    <t>767-844</t>
  </si>
  <si>
    <t>bedrock</t>
  </si>
  <si>
    <t>Core 3</t>
  </si>
  <si>
    <t>Mangrove peat</t>
  </si>
  <si>
    <t>972-1003</t>
  </si>
  <si>
    <t>1003-1100</t>
  </si>
  <si>
    <t>Core 4</t>
  </si>
  <si>
    <t>0-430</t>
  </si>
  <si>
    <t>430-510</t>
  </si>
  <si>
    <t>Shelly sandy mud with fine roots</t>
  </si>
  <si>
    <t>510-970</t>
  </si>
  <si>
    <t>mangrove peat with 1-2 cm layers of shelly sandy mud at 515, 530, and 550</t>
  </si>
  <si>
    <t>*impenetrable object (wood?) at 670, started new core</t>
  </si>
  <si>
    <t>970-1133</t>
  </si>
  <si>
    <t>muddy brown peat</t>
  </si>
  <si>
    <t>1133-1300</t>
  </si>
  <si>
    <t>grey mud</t>
  </si>
  <si>
    <t>1300-</t>
  </si>
  <si>
    <t>couldn't penetrate further, mud very stiff</t>
  </si>
  <si>
    <t xml:space="preserve">Bert and Ernie transect </t>
  </si>
  <si>
    <t>5/14/19</t>
  </si>
  <si>
    <t>0-1117</t>
  </si>
  <si>
    <t>1117-1127</t>
  </si>
  <si>
    <t>1127-1137</t>
  </si>
  <si>
    <t>weathered bedrock (limestone)</t>
  </si>
  <si>
    <t>0-1113</t>
  </si>
  <si>
    <t>1113-1130</t>
  </si>
  <si>
    <t>1130-1150 intertidal mud</t>
  </si>
  <si>
    <t>0-1120</t>
  </si>
  <si>
    <t>Bedrock (intertidal mud not recovered</t>
  </si>
  <si>
    <t>0-750</t>
  </si>
  <si>
    <t>750-810</t>
  </si>
  <si>
    <t>Transition to grey mud</t>
  </si>
  <si>
    <t>810-833</t>
  </si>
  <si>
    <t>unrecoverable</t>
  </si>
  <si>
    <t>PLANNED</t>
  </si>
  <si>
    <t>Environment</t>
  </si>
  <si>
    <t>Sample ID</t>
  </si>
  <si>
    <t>Replicates</t>
  </si>
  <si>
    <t>Channel bottom</t>
  </si>
  <si>
    <t>Near GR/19 boat landing</t>
  </si>
  <si>
    <t>Seagrass bed</t>
  </si>
  <si>
    <t>Platform on channel cut or bed on backside (open coast side) of Oscar transect</t>
  </si>
  <si>
    <t>Fringe Rhizophora</t>
  </si>
  <si>
    <t>GR/19 fringe, OS/19/St 27 or 28</t>
  </si>
  <si>
    <t>Scrub basin</t>
  </si>
  <si>
    <t>GR/19/St 11</t>
  </si>
  <si>
    <t xml:space="preserve">Dwarf basin </t>
  </si>
  <si>
    <t xml:space="preserve">  'firm'</t>
  </si>
  <si>
    <t>GR/19/St 20, BE/19/St 18</t>
  </si>
  <si>
    <t xml:space="preserve">  'collapsing'</t>
  </si>
  <si>
    <t>GR/19/landward of St 19, OS/19/St 10 or 17</t>
  </si>
  <si>
    <t>Mixed species basin</t>
  </si>
  <si>
    <t>BE/19/St 8, OS/19/St 19 or 20</t>
  </si>
  <si>
    <t>ACTUAL</t>
  </si>
  <si>
    <t>Nearest station</t>
  </si>
  <si>
    <t>GR/19/AC1</t>
  </si>
  <si>
    <t>GR/19/C1</t>
  </si>
  <si>
    <t>Rhizophora fringe</t>
  </si>
  <si>
    <t>GR/19/AC2</t>
  </si>
  <si>
    <t>next to RTK base/rover</t>
  </si>
  <si>
    <t xml:space="preserve">Dwarf Rhizophora </t>
  </si>
  <si>
    <t>GR/19/AC3</t>
  </si>
  <si>
    <t>GR/19/St11</t>
  </si>
  <si>
    <t>Rhizophora scrub basin</t>
  </si>
  <si>
    <t>GR/19/AC4</t>
  </si>
  <si>
    <t>GR/19/St19</t>
  </si>
  <si>
    <t>collapsing' dwarf Rhizophora</t>
  </si>
  <si>
    <t>BE/19/AC5</t>
  </si>
  <si>
    <t>BE/19/St18</t>
  </si>
  <si>
    <t>BE/19/AC6</t>
  </si>
  <si>
    <t>BE/19/St12</t>
  </si>
  <si>
    <t>CM/19/AC7</t>
  </si>
  <si>
    <t>CM/19/St8</t>
  </si>
  <si>
    <t>Monospecific Avicennia basin</t>
  </si>
  <si>
    <t>OS/19/AC8</t>
  </si>
  <si>
    <t>~80 cm water depth @ 3 pm</t>
  </si>
  <si>
    <t>OS/19/AC9</t>
  </si>
  <si>
    <t>OS/19/St26</t>
  </si>
  <si>
    <t>OS/19/AC10</t>
  </si>
  <si>
    <t>OS/19/C3</t>
  </si>
  <si>
    <t>OS/19/AC11</t>
  </si>
  <si>
    <t>OS/19/St17</t>
  </si>
  <si>
    <t>GR/19/AC12</t>
  </si>
  <si>
    <t>in channel near water logger</t>
  </si>
  <si>
    <t>Base</t>
  </si>
  <si>
    <t>Rover</t>
  </si>
  <si>
    <t>Date</t>
  </si>
  <si>
    <t>Location</t>
  </si>
  <si>
    <t>Carrie Bow Cay</t>
  </si>
  <si>
    <t>OS/19/C2</t>
  </si>
  <si>
    <t>BE/19/C4, CBC/19 benchmark and logger</t>
  </si>
  <si>
    <t>CBC/10 benchmark</t>
  </si>
  <si>
    <t>5/19/19</t>
  </si>
  <si>
    <t>Picking radiocarbon dates</t>
  </si>
  <si>
    <t xml:space="preserve">NK and KJ </t>
  </si>
  <si>
    <t>Sample Depth (cm)</t>
  </si>
  <si>
    <t>piece of wood (doesn't appear to be red mangrove wood), photos on NK phone</t>
  </si>
  <si>
    <t>pieces of red mangrove leaves and prop root (separate vials), leaves not cleaned (don't have the correct tools)</t>
  </si>
  <si>
    <t>pieces of mangrove wood and prop bark (separate vials)</t>
  </si>
  <si>
    <t>9/17/19</t>
  </si>
  <si>
    <t>Samples not sending for dating</t>
  </si>
  <si>
    <t>Sample depth</t>
  </si>
  <si>
    <t>Samples Description</t>
  </si>
  <si>
    <t>Dry wt (mg)</t>
  </si>
  <si>
    <t>Depth</t>
  </si>
  <si>
    <t>Weight (mg)</t>
  </si>
  <si>
    <t>1145-1146</t>
  </si>
  <si>
    <t>Mangrove wood</t>
  </si>
  <si>
    <t>Small piece of wood (twig?) at edge of peat substrate. Questioned if in situ, but deemed fine as cores have undergone significant transport from Belize to NJ to SG</t>
  </si>
  <si>
    <t>937-938 cm</t>
  </si>
  <si>
    <t>Prop roots</t>
  </si>
  <si>
    <t>1046-1047</t>
  </si>
  <si>
    <t>1-cm piece of mangrove wood</t>
  </si>
  <si>
    <t>1078-1079</t>
  </si>
  <si>
    <t xml:space="preserve">Small piece of wood in middle of layer </t>
  </si>
  <si>
    <t>1002-1003</t>
  </si>
  <si>
    <t>937-938</t>
  </si>
  <si>
    <t>MANGROVE WOOD</t>
  </si>
  <si>
    <t>Large piece of wood from surface. Few pieces of prop root but did not date -- kept in separate valve.</t>
  </si>
  <si>
    <t>870-871</t>
  </si>
  <si>
    <t>Small wood 'nub' at surface of core</t>
  </si>
  <si>
    <t>766-768</t>
  </si>
  <si>
    <t>Large piece of wood from surface (very spongy)</t>
  </si>
  <si>
    <t>643-644</t>
  </si>
  <si>
    <t>596-595</t>
  </si>
  <si>
    <t>Small (&lt;0.3 cm) pieces of wood at surface (more in center of core)</t>
  </si>
  <si>
    <t>552-553</t>
  </si>
  <si>
    <t>Large (~1 cm) wood chunk at surface</t>
  </si>
  <si>
    <t>481-482</t>
  </si>
  <si>
    <t>mangrove wood</t>
  </si>
  <si>
    <t>Small piece of wood under surface layer</t>
  </si>
  <si>
    <t>406.5-407.5</t>
  </si>
  <si>
    <t xml:space="preserve">small piece of wood (twig) from surface </t>
  </si>
  <si>
    <t>361-362</t>
  </si>
  <si>
    <t>small piece of wood found under surface layer</t>
  </si>
  <si>
    <t>256-257</t>
  </si>
  <si>
    <t>Small piece of wood at surface</t>
  </si>
  <si>
    <t>201-202</t>
  </si>
  <si>
    <t>Small piece of wood fragments at surface (maybe not in situ)</t>
  </si>
  <si>
    <t>144-145</t>
  </si>
  <si>
    <t>small piece of wood (twig and nub) in surface layer</t>
  </si>
  <si>
    <t>160-161</t>
  </si>
  <si>
    <t>large piece of woody bark below surface layer</t>
  </si>
  <si>
    <t>76-77</t>
  </si>
  <si>
    <t>very small piece at edge of core (maybe not in situ)</t>
  </si>
  <si>
    <t>24-25</t>
  </si>
  <si>
    <t xml:space="preserve"> </t>
  </si>
  <si>
    <t>Oscar (OS)</t>
  </si>
  <si>
    <t>OS/19/C2 100-150</t>
  </si>
  <si>
    <t>OS/19/C2 150-200</t>
  </si>
  <si>
    <t>OS/19/C2 200-250</t>
  </si>
  <si>
    <t>OS/19/C2 250-300</t>
  </si>
  <si>
    <t>OS/19/C2 300-350</t>
  </si>
  <si>
    <t>OS/19/C2 350-400</t>
  </si>
  <si>
    <t>OS/19/C2 400-450</t>
  </si>
  <si>
    <t>OS/19/C2 450-500</t>
  </si>
  <si>
    <t>OS/19/C2 550-600</t>
  </si>
  <si>
    <t>OS/19/C2 500-550</t>
  </si>
  <si>
    <t>OS/19/C2 700-750</t>
  </si>
  <si>
    <t>OS/19/C2 750-800</t>
  </si>
  <si>
    <t>OS/19/C2 600-650</t>
  </si>
  <si>
    <t>OS/19/C2 650-700</t>
  </si>
  <si>
    <t>Yen, Fangyi, Sarah checked cores in Fridge</t>
  </si>
  <si>
    <t>OS/19/C2 759-809</t>
  </si>
  <si>
    <t>GR/19/C1 Rep C 1000-1050</t>
  </si>
  <si>
    <t>GR/19/C1 Rep C 1160-1210</t>
  </si>
  <si>
    <t>GR/19/C1 Rep C 1080-1130</t>
  </si>
  <si>
    <t>GR/19/C1 Rep C 1040-1090</t>
  </si>
  <si>
    <t>GR/19/C1 Rep C 1120-1170</t>
  </si>
  <si>
    <t>GR/19/C1 Rep A 1120-1170</t>
  </si>
  <si>
    <t>GR/19/C1 Rep A 1160-1210</t>
  </si>
  <si>
    <t>GR/19/C1 Rep A 1040-1090</t>
  </si>
  <si>
    <t>GR/19/C1 Rep A 1080-1130</t>
  </si>
  <si>
    <t>GR/19/C1 Rep A 1000-1050</t>
  </si>
  <si>
    <t>GR/19/C1 Rep A 0120-0170</t>
  </si>
  <si>
    <t>GR/19/C1 Rep A 0160-0210</t>
  </si>
  <si>
    <t>GR/19/C1 Rep A 0200-0250</t>
  </si>
  <si>
    <t>GR/19/C1 Rep A 0240-0290</t>
  </si>
  <si>
    <t>GR/19/C1 Rep A 0280-0330</t>
  </si>
  <si>
    <t>GR/19/C1 Rep A 0320-0370</t>
  </si>
  <si>
    <t>GR/19/C1 Rep A 0360-0410</t>
  </si>
  <si>
    <t>GR/19/C1 Rep A 0040-0090</t>
  </si>
  <si>
    <t>GR/19/C1 Rep A 0400-0450</t>
  </si>
  <si>
    <t>GR/19/C1 Rep A 0440-0490</t>
  </si>
  <si>
    <t>GR/19/C1 Rep A 0480-0530</t>
  </si>
  <si>
    <t>GR/19/C1 Rep A 0520-0570</t>
  </si>
  <si>
    <t>GR/19/C1 Rep A 0560-0610</t>
  </si>
  <si>
    <t>GR/19/C1 Rep A 0600-0650</t>
  </si>
  <si>
    <t>GR/19/C1 Rep A 0640-0690</t>
  </si>
  <si>
    <t>GR/19/C1 Rep A 0680-0730</t>
  </si>
  <si>
    <t>GR/19/C1 Rep A 0720-0770</t>
  </si>
  <si>
    <t>GR/19/C1 Rep A 0760-0810</t>
  </si>
  <si>
    <t>GR/19/C1 Rep A 0080-0130</t>
  </si>
  <si>
    <t>GR/19/C1 Rep A 0800-0850</t>
  </si>
  <si>
    <t>GR/19/C1 Rep A 0840-0890</t>
  </si>
  <si>
    <t>GR/19/C1 Rep A 0880-0930</t>
  </si>
  <si>
    <t>GR/19/C1 Rep A 0920-0970</t>
  </si>
  <si>
    <t>GR/19/C1 Rep A 0960-1010</t>
  </si>
  <si>
    <t>GR/19/C1 Rep A 0000-0050</t>
  </si>
  <si>
    <t>Grover (GR) Rep A</t>
  </si>
  <si>
    <t>A core</t>
  </si>
  <si>
    <t>B core</t>
  </si>
  <si>
    <t>GR/19/C1 Rep C 0280-0330</t>
  </si>
  <si>
    <t>GR/19/C1 Rep C 0240-0290</t>
  </si>
  <si>
    <t>GR/19/C1 Rep C 0320-0370</t>
  </si>
  <si>
    <t>GR/19/C1 Rep C 0360-0410</t>
  </si>
  <si>
    <t>GR/19/C1 Rep C 0880-0930</t>
  </si>
  <si>
    <t>GR/19/C1 Rep C 0920-0970</t>
  </si>
  <si>
    <t>GR/19/C1 Rep C 0440-0490</t>
  </si>
  <si>
    <t>GR/19/C1 Rep C 0400-0450</t>
  </si>
  <si>
    <t>GR/19/C1 Rep C 0960-1010</t>
  </si>
  <si>
    <t>GR/19/C1 Rep C 0160-0210</t>
  </si>
  <si>
    <t>GR/19/C1 Rep C 0200-0250</t>
  </si>
  <si>
    <t>GR/19/C1 Rep C 0120-0170</t>
  </si>
  <si>
    <t>GR/19/C1 Rep C 0080-0130</t>
  </si>
  <si>
    <t>GR/19/C1 Rep C 0480-0530</t>
  </si>
  <si>
    <t>GR/19/C1 Rep C 0520-0570</t>
  </si>
  <si>
    <t>GR/19/C1 Rep C 0600-0650</t>
  </si>
  <si>
    <t>GR/19/C1 Rep C 0560-0610</t>
  </si>
  <si>
    <t>GR/19/C1 Rep C 0000-0050</t>
  </si>
  <si>
    <t>GR/19/C1 Rep C 0040-0090</t>
  </si>
  <si>
    <t>GR/19/C1 Rep C 0840-0890</t>
  </si>
  <si>
    <t>GR/19/C1 Rep C 0800-0850</t>
  </si>
  <si>
    <t>GR/19/C1 Rep C 0720-0770</t>
  </si>
  <si>
    <t>GR/19/C1 Rep C 0760-0810</t>
  </si>
  <si>
    <t>GR/19/C1 Rep C 0680-0730</t>
  </si>
  <si>
    <t>GR/19/C1 Rep C 0640-0690</t>
  </si>
  <si>
    <t>B Core</t>
  </si>
  <si>
    <t>GR/19/C1 Rep C A hole 1156-1206</t>
  </si>
  <si>
    <t>Grover (GR) Rep C</t>
  </si>
  <si>
    <t>OS/19/C2 050-100</t>
  </si>
  <si>
    <t>OS/19/C2 000-050</t>
  </si>
  <si>
    <t>GR/19/C1 Rep B 0000-0050</t>
  </si>
  <si>
    <t>GR/19/C1 Rep B 0120-0170</t>
  </si>
  <si>
    <t>GR/19/C1 Rep B 0320-0370</t>
  </si>
  <si>
    <t>GR/19/C1 Rep B 0400-0450</t>
  </si>
  <si>
    <t>GR/19/C1 Rep B 0200-0250</t>
  </si>
  <si>
    <t>GR/19/C1 Rep B 0040-0090</t>
  </si>
  <si>
    <t>GR/19/C1 Rep B 0600-0650</t>
  </si>
  <si>
    <t>GR/19/C1 Rep B 0800-0850</t>
  </si>
  <si>
    <t>GR/19/C1 Rep B 0160-0210</t>
  </si>
  <si>
    <t>GR/19/C1 Rep B 0440-0490</t>
  </si>
  <si>
    <t>GR/19/C1 Rep B 0520-0570</t>
  </si>
  <si>
    <t>GR/19/C1 Rep B 0640-0690</t>
  </si>
  <si>
    <t>GR/19/C1 Rep B 0560-0610</t>
  </si>
  <si>
    <t>GR/19/C1 Rep B 0760-0810</t>
  </si>
  <si>
    <t>GR/19/C1 Rep B 0720-0770</t>
  </si>
  <si>
    <t>GR/19/C1 Rep B 0360-0410</t>
  </si>
  <si>
    <t>GR/19/C1 Rep B 1000-1050</t>
  </si>
  <si>
    <t>GR/19/C1 Rep B 1120-1170</t>
  </si>
  <si>
    <t>GR/19/C1 Rep B 0840-0890</t>
  </si>
  <si>
    <t>GR/19/C1 Rep B 0960-1010</t>
  </si>
  <si>
    <t>GR/19/C1 Rep B 0920-0970</t>
  </si>
  <si>
    <t>GR/19/C1 Rep B 1040-1090</t>
  </si>
  <si>
    <t>GR/19/C1 Rep B 0240-0290</t>
  </si>
  <si>
    <t>Grover (GR) Rep B</t>
  </si>
  <si>
    <t>NK calculated</t>
  </si>
  <si>
    <t>TFY Calculated</t>
  </si>
  <si>
    <t>Difference</t>
  </si>
  <si>
    <t>Checking levels</t>
  </si>
  <si>
    <t>Geoid Height</t>
  </si>
  <si>
    <t>Ellipsoid height</t>
  </si>
  <si>
    <t>Base Station</t>
  </si>
  <si>
    <t>Orthometric height</t>
  </si>
  <si>
    <t>OS C2</t>
  </si>
  <si>
    <t>Grover</t>
  </si>
  <si>
    <t>Oscar</t>
  </si>
  <si>
    <t>BertErnie</t>
  </si>
  <si>
    <t>BigBird</t>
  </si>
  <si>
    <t>CookieMonster</t>
  </si>
  <si>
    <t>Indicative range</t>
  </si>
  <si>
    <t>min</t>
  </si>
  <si>
    <t>max</t>
  </si>
  <si>
    <t>TWIN BASE</t>
  </si>
  <si>
    <t>TWIN Base as TBM</t>
  </si>
  <si>
    <t>OS as TBM</t>
  </si>
  <si>
    <t>Orthometric height (m)</t>
  </si>
  <si>
    <t>TWINBase TBM</t>
  </si>
  <si>
    <t>Note: core 4 was not levelled to in the modern transect, although there was an RTK point</t>
  </si>
  <si>
    <t>peat-forming mangrove</t>
  </si>
  <si>
    <t>peat forming mangrove</t>
  </si>
  <si>
    <t>BE Rover</t>
  </si>
  <si>
    <t>BB Rover</t>
  </si>
  <si>
    <t>CM Rover</t>
  </si>
  <si>
    <t>Indicative meaning</t>
  </si>
  <si>
    <t>Log of cores in fridge</t>
  </si>
  <si>
    <t xml:space="preserve">Depth </t>
  </si>
  <si>
    <t>Core A</t>
  </si>
  <si>
    <t>Plan for dating (GR/19/C1 Rep B)</t>
  </si>
  <si>
    <t>644 - 870</t>
  </si>
  <si>
    <t>Core B</t>
  </si>
  <si>
    <t>482-595</t>
  </si>
  <si>
    <t>257-361</t>
  </si>
  <si>
    <t>Elevation (m TBM)</t>
  </si>
  <si>
    <t>Orthometric elevation (m)</t>
  </si>
  <si>
    <t>Elevation (m above base station)</t>
  </si>
  <si>
    <t>Elevation (m C2)</t>
  </si>
  <si>
    <t>Elevation (m TBM)
where TBM is TWINBase</t>
  </si>
  <si>
    <t>diff OS &amp;C2</t>
  </si>
  <si>
    <t>diff TWINBase &amp; 
C2</t>
  </si>
  <si>
    <t>TBM refers to OS on RTK sheet</t>
  </si>
  <si>
    <t>Elevation (m above Rover)</t>
  </si>
  <si>
    <t>end of day, set up TBM. Does not refer to TWINBase; temporary benchmark set up to tie one survey to the survey on the next day, but orthometric height not measured at this location</t>
  </si>
  <si>
    <t>stations up to this point have been spaced ~3 apart, n mixed species basin, sampled collected near white and black pneumatophores, substrate same as st 8</t>
  </si>
  <si>
    <t>BE Rover (RTK point)</t>
  </si>
  <si>
    <t>substrate same as last (more sandy)</t>
  </si>
  <si>
    <t>check indicative meanings again with Nicole!</t>
  </si>
  <si>
    <t>25-141</t>
  </si>
  <si>
    <t>GR/19/C1 Rep B 0480-0530</t>
  </si>
  <si>
    <t>GR/19/C1 Rep B 80-130</t>
  </si>
  <si>
    <t>GR/19/C1 Rep B 280-330</t>
  </si>
  <si>
    <t>GR/19/C1 Rep B 0680-0730</t>
  </si>
  <si>
    <t>GR/19/C1 Rep B 480-530</t>
  </si>
  <si>
    <t>GR/19/C1 Rep B 880-930</t>
  </si>
  <si>
    <t>GR/19/C1 Rep B 680-730</t>
  </si>
  <si>
    <t>GR/19/C1 Rep B 1080-1130</t>
  </si>
  <si>
    <t>NK and TFY</t>
  </si>
  <si>
    <t>TFY and GR</t>
  </si>
  <si>
    <t>Fine fraction filtration</t>
  </si>
  <si>
    <t>Filter ID</t>
  </si>
  <si>
    <t>Baked filter weight (g)</t>
  </si>
  <si>
    <t>Dry weight filter and sample (g)</t>
  </si>
  <si>
    <t>Comments</t>
  </si>
  <si>
    <t>prior to filtration</t>
  </si>
  <si>
    <t>after filtration</t>
  </si>
  <si>
    <t>bolded were shipped back from Rutgers</t>
  </si>
  <si>
    <t>Sections to date</t>
  </si>
  <si>
    <t>GR/19/C1 Rep B 0080-0130</t>
  </si>
  <si>
    <t>Core</t>
  </si>
  <si>
    <t>Sample weight (F-E) (mg)</t>
  </si>
  <si>
    <t>GR/19/C1 REP B 840-490</t>
  </si>
  <si>
    <t>850-851</t>
  </si>
  <si>
    <t>GR/19/C1/B/850-851/A</t>
  </si>
  <si>
    <t>Peat</t>
  </si>
  <si>
    <t>GR/19/C1/B/850-851/B</t>
  </si>
  <si>
    <t>GR/19/C1/B/850-851/C</t>
  </si>
  <si>
    <t>GR/19/C1 REP B 800-850</t>
  </si>
  <si>
    <t>844-845</t>
  </si>
  <si>
    <t>GR/19/C1/B/844-845/A</t>
  </si>
  <si>
    <t>Peat; large soft macro picked out after sieving (bark?)</t>
  </si>
  <si>
    <t>GR/19/C1/B/844-845/B</t>
  </si>
  <si>
    <t>GR/19/C1/B/844-845/C</t>
  </si>
  <si>
    <t>TFY</t>
  </si>
  <si>
    <t>Sample description</t>
  </si>
  <si>
    <t>GR/19/C1/B/850-851/D</t>
  </si>
  <si>
    <t>tabular, fibrous but tensile (tears along fibers), reddish-brown, shiny surface, with black bumps. (bark?)</t>
  </si>
  <si>
    <t>GR/19/C1/B/850-851/E</t>
  </si>
  <si>
    <t>cylindrical and elongate, smooth shiny surface (not fibrous), slightly spongey and slightly fragile, greyish brown, with black 'eyes'</t>
  </si>
  <si>
    <t>GR/19/C1/B/850-851/F</t>
  </si>
  <si>
    <t>blocky, stiff (wood?), dark brown with some stripes on one side, smoother texture on the other side. Very fragile and breaks easily</t>
  </si>
  <si>
    <t>GR/19/C1/B/850-851/G</t>
  </si>
  <si>
    <t>cylindrical and elongate, hollow inside, has black holes like 'eyes', slightly spongey, similar to macro GR/19/C1/B/850-851/E but is reddish brown to tan brown, has lines on the exterior (but doesn't really tear along these 'fibers', and seems more degraded,</t>
  </si>
  <si>
    <t>Type of macro</t>
  </si>
  <si>
    <t>bark?</t>
  </si>
  <si>
    <t>Part of &gt;63 micron fraction</t>
  </si>
  <si>
    <t>wood?</t>
  </si>
  <si>
    <t>twig?</t>
  </si>
  <si>
    <t>Dry weight of sample (mg)</t>
  </si>
  <si>
    <t>GR/19/C1/B/844-845/D</t>
  </si>
  <si>
    <t>thin, flat, fragile. Has rectangular boxes (cells?) -- some of which are darker brown, the rest are light brown.</t>
  </si>
  <si>
    <t>leaf?</t>
  </si>
  <si>
    <t>GR/19/C1/B/844-845/E</t>
  </si>
  <si>
    <t>thin, flat, fragile. Has rectangular boxes (cells?) -- mostly translucent/clear. Some has black 'eye'</t>
  </si>
  <si>
    <t>leaf? Or unfolded version of GR/19/C1/B/844-845/G?</t>
  </si>
  <si>
    <t>GR/19/C1/B/844-845/F</t>
  </si>
  <si>
    <t>reddish-brown, flat and tabular, shiny surface, tensile but does not tear along 'fibers'. Has black bumps. Inner part of this (less woody part) can peel off (I peeled off one halfway, see photograph), that resembles GR/19/C1/B/844-845/D except there are more dark brown spots/boxes and is darker</t>
  </si>
  <si>
    <t>GR/19/C1/B/844-845/G</t>
  </si>
  <si>
    <t>cylindrical, elongate, with black spots. Fibrous, hollow inside, quite fragile.</t>
  </si>
  <si>
    <t>GR/19/C1/B/844-845/H</t>
  </si>
  <si>
    <t>elongate, reddish-brown, fibrous and fragile.</t>
  </si>
  <si>
    <t>GR/19/C1/B/844-845/I</t>
  </si>
  <si>
    <t>elongate, dark brown with black bumps , not fibrous, not fragile.</t>
  </si>
  <si>
    <r>
      <t xml:space="preserve">Part of &gt;63 micron fraction
</t>
    </r>
    <r>
      <rPr>
        <sz val="12"/>
        <color rgb="FFFF0000"/>
        <rFont val="Calibri (Body)"/>
      </rPr>
      <t>Insufficient sample for dating</t>
    </r>
  </si>
  <si>
    <t>picked dates from these in 2019</t>
  </si>
  <si>
    <t>sampleID</t>
  </si>
  <si>
    <t>Beta 538705</t>
  </si>
  <si>
    <t>Beta 538707</t>
  </si>
  <si>
    <t>Beta 538706</t>
  </si>
  <si>
    <t>Beta 538704</t>
  </si>
  <si>
    <t>Beta 538722</t>
  </si>
  <si>
    <t>Beta 538709</t>
  </si>
  <si>
    <t>Beta 538714</t>
  </si>
  <si>
    <t>Beta 538710</t>
  </si>
  <si>
    <t>Beta 538708</t>
  </si>
  <si>
    <t>Beta 538712</t>
  </si>
  <si>
    <t>Beta 538716</t>
  </si>
  <si>
    <t>Beta 538718</t>
  </si>
  <si>
    <t>Beta 538720</t>
  </si>
  <si>
    <t>Beta 538711</t>
  </si>
  <si>
    <t>Beta 538713</t>
  </si>
  <si>
    <t>Beta 538717</t>
  </si>
  <si>
    <t>Beta 538719</t>
  </si>
  <si>
    <t>Beta 538715</t>
  </si>
  <si>
    <t>Beta 538721</t>
  </si>
  <si>
    <t xml:space="preserve">From 'results/Belize SLIPs.csv' in 'Belize Plots 'RProject </t>
  </si>
  <si>
    <t xml:space="preserve">Last updated: </t>
  </si>
  <si>
    <t>If I used TWIN Base as TBM, orthometric elevations would be ~10cm lower</t>
  </si>
  <si>
    <t>If I used C2 to tie elevations, orthometric elevations would be ~10cm lower</t>
  </si>
  <si>
    <t>double check with Nicole again because of smaller difference in ortho heights of TWINBase and OSC2 vs for OS and OSC2</t>
  </si>
  <si>
    <t>sample depth (m)</t>
  </si>
  <si>
    <t>sample thickness uncertainty (m)</t>
  </si>
  <si>
    <t>type</t>
  </si>
  <si>
    <t>year_sampled</t>
  </si>
  <si>
    <t>sample elevation (m msl)</t>
  </si>
  <si>
    <t>Age (cal. yrs BP)</t>
  </si>
  <si>
    <t>Age upper 2sd (cal. yrs BP)</t>
  </si>
  <si>
    <t>Age lower 2sd (cal. yrs BP)</t>
  </si>
  <si>
    <t>MLW (m msl)</t>
  </si>
  <si>
    <t>MHW (m msl)</t>
  </si>
  <si>
    <t>MTL (m msl)</t>
  </si>
  <si>
    <t>HAT (m msl)</t>
  </si>
  <si>
    <t>LAT (m msl)</t>
  </si>
  <si>
    <t>MHHW (m msl)</t>
  </si>
  <si>
    <t>MLHW (m msl)</t>
  </si>
  <si>
    <t>MHLW (m msl)</t>
  </si>
  <si>
    <t>MLLW (m msl)</t>
  </si>
  <si>
    <t>MSL (m msl)</t>
  </si>
  <si>
    <t>RSL (m)</t>
  </si>
  <si>
    <t>RSL upper (m)</t>
  </si>
  <si>
    <t>RSL lower (m)</t>
  </si>
  <si>
    <t>full modern IM</t>
  </si>
  <si>
    <t>Beta 588803</t>
  </si>
  <si>
    <t>Beta 588806</t>
  </si>
  <si>
    <t>Beta 588807</t>
  </si>
  <si>
    <t>Beta 588804</t>
  </si>
  <si>
    <t>Beta 588805</t>
  </si>
  <si>
    <t>Beta 588802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</si>
</sst>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7" x14ac:knownFonts="1">
    <font>
      <sz val="12"/>
      <color theme="1"/>
      <name val="Calibri"/>
      <family val="2"/>
      <scheme val="minor"/>
    </font>
    <font>
      <b/>
      <i/>
      <sz val="12"/>
      <color theme="1"/>
      <name val="Calibri"/>
      <family val="2"/>
      <scheme val="minor"/>
    </font>
    <font>
      <b/>
      <sz val="12"/>
      <color theme="1"/>
      <name val="Calibri"/>
      <family val="2"/>
      <scheme val="minor"/>
    </font>
    <font>
      <i/>
      <sz val="12"/>
      <color theme="1"/>
      <name val="Calibri"/>
      <family val="2"/>
      <scheme val="minor"/>
    </font>
    <font>
      <sz val="12"/>
      <color rgb="FFFF0000"/>
      <name val="Calibri"/>
      <family val="2"/>
      <scheme val="minor"/>
    </font>
    <font>
      <sz val="10"/>
      <color theme="1"/>
      <name val="Helvetica"/>
      <family val="2"/>
    </font>
    <font>
      <sz val="12"/>
      <color rgb="FFFF0000"/>
      <name val="Calibri (Body)"/>
    </font>
  </fonts>
  <fills count="17">
    <fill>
      <patternFill patternType="none"/>
    </fill>
    <fill>
      <patternFill patternType="gray125"/>
    </fill>
    <fill>
      <patternFill patternType="solid">
        <fgColor theme="7" tint="0.7999816888943144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6"/>
        <bgColor indexed="64"/>
      </patternFill>
    </fill>
    <fill>
      <patternFill patternType="solid">
        <fgColor rgb="FFFF7E79"/>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rgb="FFF2BEB8"/>
        <bgColor indexed="64"/>
      </patternFill>
    </fill>
    <fill>
      <patternFill patternType="solid">
        <fgColor theme="0" tint="-4.9989318521683403E-2"/>
        <bgColor indexed="64"/>
      </patternFill>
    </fill>
    <fill>
      <patternFill patternType="solid">
        <fgColor theme="9" tint="0.59999389629810485"/>
        <bgColor indexed="64"/>
      </patternFill>
    </fill>
  </fills>
  <borders count="15">
    <border>
      <left/>
      <right/>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s>
  <cellStyleXfs count="1">
    <xf numFmtId="0" fontId="0" fillId="0" borderId="0"/>
  </cellStyleXfs>
  <cellXfs count="117">
    <xf numFmtId="0" fontId="0" fillId="0" borderId="0" xfId="0"/>
    <xf numFmtId="14" fontId="0" fillId="0" borderId="0" xfId="0" applyNumberFormat="1"/>
    <xf numFmtId="16" fontId="0" fillId="0" borderId="0" xfId="0" applyNumberFormat="1"/>
    <xf numFmtId="0" fontId="0" fillId="0" borderId="0" xfId="0" applyFont="1"/>
    <xf numFmtId="0" fontId="1" fillId="0" borderId="0" xfId="0" applyFont="1"/>
    <xf numFmtId="0" fontId="2" fillId="0" borderId="0" xfId="0" applyFont="1"/>
    <xf numFmtId="0" fontId="3" fillId="0" borderId="0" xfId="0" applyFont="1"/>
    <xf numFmtId="0" fontId="0" fillId="0" borderId="0" xfId="0" quotePrefix="1"/>
    <xf numFmtId="14" fontId="0" fillId="0" borderId="0" xfId="0" applyNumberFormat="1" applyAlignment="1">
      <alignment horizontal="left"/>
    </xf>
    <xf numFmtId="0" fontId="0" fillId="2" borderId="3" xfId="0" applyFill="1" applyBorder="1"/>
    <xf numFmtId="0" fontId="0" fillId="2" borderId="5" xfId="0" applyFill="1" applyBorder="1"/>
    <xf numFmtId="0" fontId="0" fillId="3" borderId="5" xfId="0" applyFill="1" applyBorder="1"/>
    <xf numFmtId="0" fontId="0" fillId="4" borderId="1" xfId="0" applyFill="1" applyBorder="1"/>
    <xf numFmtId="0" fontId="0" fillId="4" borderId="3" xfId="0" applyFill="1" applyBorder="1"/>
    <xf numFmtId="0" fontId="2" fillId="4" borderId="4" xfId="0" applyFont="1" applyFill="1" applyBorder="1"/>
    <xf numFmtId="0" fontId="4" fillId="4" borderId="6" xfId="0" applyFont="1" applyFill="1" applyBorder="1"/>
    <xf numFmtId="0" fontId="4" fillId="2" borderId="6" xfId="0" applyFont="1" applyFill="1" applyBorder="1"/>
    <xf numFmtId="0" fontId="0" fillId="2" borderId="7" xfId="0" applyFill="1" applyBorder="1"/>
    <xf numFmtId="0" fontId="0" fillId="3" borderId="7" xfId="0" applyFill="1" applyBorder="1"/>
    <xf numFmtId="0" fontId="0" fillId="3" borderId="9" xfId="0" applyFill="1" applyBorder="1"/>
    <xf numFmtId="0" fontId="0" fillId="3" borderId="8" xfId="0" applyFill="1" applyBorder="1"/>
    <xf numFmtId="0" fontId="0" fillId="5" borderId="5" xfId="0" applyFill="1" applyBorder="1"/>
    <xf numFmtId="0" fontId="0" fillId="5" borderId="7" xfId="0" applyFill="1" applyBorder="1"/>
    <xf numFmtId="0" fontId="2" fillId="5" borderId="4" xfId="0" applyFont="1" applyFill="1" applyBorder="1" applyAlignment="1">
      <alignment horizontal="center"/>
    </xf>
    <xf numFmtId="0" fontId="2" fillId="2" borderId="2" xfId="0" applyFont="1" applyFill="1" applyBorder="1" applyAlignment="1">
      <alignment horizontal="center"/>
    </xf>
    <xf numFmtId="0" fontId="2" fillId="2" borderId="4" xfId="0" applyFont="1" applyFill="1" applyBorder="1" applyAlignment="1">
      <alignment horizontal="center"/>
    </xf>
    <xf numFmtId="0" fontId="2" fillId="3" borderId="4" xfId="0" applyFont="1" applyFill="1" applyBorder="1" applyAlignment="1">
      <alignment horizontal="center"/>
    </xf>
    <xf numFmtId="0" fontId="2" fillId="3" borderId="10" xfId="0" applyFont="1" applyFill="1" applyBorder="1" applyAlignment="1">
      <alignment horizontal="center"/>
    </xf>
    <xf numFmtId="0" fontId="0" fillId="0" borderId="0" xfId="0" applyFill="1" applyBorder="1"/>
    <xf numFmtId="0" fontId="0" fillId="5" borderId="0" xfId="0" applyFill="1"/>
    <xf numFmtId="0" fontId="0" fillId="0" borderId="0" xfId="0" applyFill="1"/>
    <xf numFmtId="0" fontId="0" fillId="7" borderId="0" xfId="0" applyFill="1"/>
    <xf numFmtId="0" fontId="2" fillId="8" borderId="0" xfId="0" applyFont="1" applyFill="1"/>
    <xf numFmtId="0" fontId="0" fillId="8" borderId="0" xfId="0" applyFill="1"/>
    <xf numFmtId="0" fontId="5" fillId="8" borderId="0" xfId="0" applyFont="1" applyFill="1"/>
    <xf numFmtId="0" fontId="5" fillId="0" borderId="0" xfId="0" applyFont="1"/>
    <xf numFmtId="0" fontId="4" fillId="0" borderId="0" xfId="0" applyFont="1"/>
    <xf numFmtId="0" fontId="0" fillId="2" borderId="0" xfId="0" applyFill="1"/>
    <xf numFmtId="0" fontId="0" fillId="9" borderId="0" xfId="0" applyFill="1"/>
    <xf numFmtId="0" fontId="2" fillId="0" borderId="0" xfId="0" applyFont="1" applyFill="1"/>
    <xf numFmtId="0" fontId="2" fillId="10" borderId="0" xfId="0" applyFont="1" applyFill="1"/>
    <xf numFmtId="0" fontId="0" fillId="10" borderId="0" xfId="0" applyFill="1"/>
    <xf numFmtId="0" fontId="0" fillId="0" borderId="0" xfId="0" applyFont="1" applyFill="1"/>
    <xf numFmtId="0" fontId="0" fillId="2" borderId="0" xfId="0" applyFont="1" applyFill="1"/>
    <xf numFmtId="0" fontId="0" fillId="8" borderId="0" xfId="0" applyFont="1" applyFill="1"/>
    <xf numFmtId="0" fontId="2" fillId="10" borderId="0" xfId="0" applyFont="1" applyFill="1" applyAlignment="1">
      <alignment wrapText="1"/>
    </xf>
    <xf numFmtId="0" fontId="0" fillId="9" borderId="0" xfId="0" applyFont="1" applyFill="1"/>
    <xf numFmtId="15" fontId="0" fillId="0" borderId="0" xfId="0" applyNumberFormat="1" applyAlignment="1">
      <alignment horizontal="left"/>
    </xf>
    <xf numFmtId="0" fontId="0" fillId="0" borderId="0" xfId="0" applyAlignment="1">
      <alignment horizontal="left"/>
    </xf>
    <xf numFmtId="0" fontId="0" fillId="0" borderId="1" xfId="0" applyBorder="1"/>
    <xf numFmtId="0" fontId="0" fillId="0" borderId="3" xfId="0" applyBorder="1"/>
    <xf numFmtId="0" fontId="0" fillId="0" borderId="6" xfId="0" applyBorder="1"/>
    <xf numFmtId="0" fontId="0" fillId="11" borderId="11" xfId="0" applyFill="1" applyBorder="1"/>
    <xf numFmtId="0" fontId="0" fillId="0" borderId="11" xfId="0" applyBorder="1"/>
    <xf numFmtId="0" fontId="0" fillId="0" borderId="5" xfId="0" applyBorder="1"/>
    <xf numFmtId="0" fontId="0" fillId="0" borderId="7" xfId="0" applyBorder="1"/>
    <xf numFmtId="0" fontId="0" fillId="0" borderId="11" xfId="0" applyFill="1" applyBorder="1"/>
    <xf numFmtId="0" fontId="0" fillId="0" borderId="7" xfId="0" applyFill="1" applyBorder="1"/>
    <xf numFmtId="0" fontId="2" fillId="0" borderId="0" xfId="0" applyFont="1" applyFill="1" applyBorder="1"/>
    <xf numFmtId="0" fontId="2" fillId="0" borderId="0" xfId="0" applyFont="1" applyFill="1" applyBorder="1" applyAlignment="1"/>
    <xf numFmtId="0" fontId="2" fillId="4" borderId="0" xfId="0" applyFont="1" applyFill="1" applyBorder="1"/>
    <xf numFmtId="0" fontId="2" fillId="4" borderId="0" xfId="0" applyFont="1" applyFill="1" applyBorder="1" applyAlignment="1">
      <alignment wrapText="1"/>
    </xf>
    <xf numFmtId="0" fontId="0" fillId="4" borderId="0" xfId="0" applyFill="1" applyBorder="1"/>
    <xf numFmtId="0" fontId="2" fillId="12" borderId="0" xfId="0" applyFont="1" applyFill="1" applyBorder="1" applyAlignment="1">
      <alignment wrapText="1"/>
    </xf>
    <xf numFmtId="0" fontId="0" fillId="12" borderId="0" xfId="0" applyFill="1" applyBorder="1"/>
    <xf numFmtId="0" fontId="0" fillId="9" borderId="0" xfId="0" applyFill="1" applyAlignment="1">
      <alignment wrapText="1"/>
    </xf>
    <xf numFmtId="0" fontId="0" fillId="10" borderId="0" xfId="0" applyFill="1" applyAlignment="1">
      <alignment wrapText="1"/>
    </xf>
    <xf numFmtId="0" fontId="4" fillId="0" borderId="0" xfId="0" applyFont="1" applyFill="1" applyBorder="1"/>
    <xf numFmtId="0" fontId="2" fillId="10" borderId="0" xfId="0" applyFont="1" applyFill="1" applyBorder="1"/>
    <xf numFmtId="0" fontId="0" fillId="10" borderId="0" xfId="0" applyFill="1" applyBorder="1"/>
    <xf numFmtId="0" fontId="2" fillId="13" borderId="0" xfId="0" applyFont="1" applyFill="1" applyAlignment="1">
      <alignment horizontal="center" vertical="center"/>
    </xf>
    <xf numFmtId="0" fontId="0" fillId="13" borderId="0" xfId="0" applyFill="1"/>
    <xf numFmtId="0" fontId="2" fillId="14" borderId="0" xfId="0" applyFont="1" applyFill="1" applyAlignment="1">
      <alignment horizontal="center" vertical="center" wrapText="1"/>
    </xf>
    <xf numFmtId="0" fontId="0" fillId="14" borderId="0" xfId="0" applyFill="1"/>
    <xf numFmtId="0" fontId="0" fillId="10" borderId="0" xfId="0" applyFont="1" applyFill="1"/>
    <xf numFmtId="0" fontId="0" fillId="0" borderId="1" xfId="0" applyFill="1" applyBorder="1"/>
    <xf numFmtId="0" fontId="0" fillId="5" borderId="5" xfId="0" applyFill="1" applyBorder="1" applyAlignment="1">
      <alignment horizontal="center"/>
    </xf>
    <xf numFmtId="0" fontId="0" fillId="0" borderId="12" xfId="0" applyBorder="1"/>
    <xf numFmtId="0" fontId="0" fillId="0" borderId="0" xfId="0" applyAlignment="1">
      <alignment vertical="center" wrapText="1"/>
    </xf>
    <xf numFmtId="0" fontId="0" fillId="0" borderId="0" xfId="0" applyAlignment="1">
      <alignment horizontal="right" vertical="center"/>
    </xf>
    <xf numFmtId="0" fontId="0" fillId="0" borderId="0" xfId="0" applyAlignment="1">
      <alignment horizontal="left" vertical="center"/>
    </xf>
    <xf numFmtId="0" fontId="0" fillId="0" borderId="0" xfId="0" applyAlignment="1">
      <alignment wrapText="1"/>
    </xf>
    <xf numFmtId="14" fontId="2" fillId="0" borderId="0" xfId="0" applyNumberFormat="1" applyFont="1" applyAlignment="1">
      <alignment horizontal="left"/>
    </xf>
    <xf numFmtId="0" fontId="0" fillId="15" borderId="0" xfId="0" applyFill="1"/>
    <xf numFmtId="0" fontId="0" fillId="15" borderId="0" xfId="0" applyFill="1" applyAlignment="1">
      <alignment wrapText="1"/>
    </xf>
    <xf numFmtId="0" fontId="0" fillId="0" borderId="0" xfId="0" applyBorder="1"/>
    <xf numFmtId="0" fontId="2" fillId="0" borderId="0" xfId="0" applyFont="1" applyBorder="1"/>
    <xf numFmtId="0" fontId="2" fillId="0" borderId="0" xfId="0" applyFont="1" applyBorder="1" applyAlignment="1">
      <alignment vertical="center"/>
    </xf>
    <xf numFmtId="0" fontId="0" fillId="11" borderId="4" xfId="0" applyFill="1" applyBorder="1"/>
    <xf numFmtId="0" fontId="0" fillId="0" borderId="13" xfId="0" applyBorder="1"/>
    <xf numFmtId="0" fontId="2" fillId="6" borderId="5" xfId="0" applyFont="1" applyFill="1" applyBorder="1"/>
    <xf numFmtId="0" fontId="0" fillId="15" borderId="5" xfId="0" applyFill="1" applyBorder="1"/>
    <xf numFmtId="0" fontId="2" fillId="0" borderId="5" xfId="0" applyFont="1" applyFill="1" applyBorder="1"/>
    <xf numFmtId="0" fontId="0" fillId="15" borderId="0" xfId="0" applyFont="1" applyFill="1"/>
    <xf numFmtId="0" fontId="2" fillId="15" borderId="5" xfId="0" applyFont="1" applyFill="1" applyBorder="1"/>
    <xf numFmtId="0" fontId="0" fillId="0" borderId="6" xfId="0" applyFill="1" applyBorder="1"/>
    <xf numFmtId="0" fontId="2" fillId="0" borderId="0" xfId="0" applyFont="1" applyAlignment="1">
      <alignment horizontal="center" vertical="center"/>
    </xf>
    <xf numFmtId="0" fontId="2" fillId="0" borderId="12" xfId="0" applyFont="1" applyBorder="1" applyAlignment="1">
      <alignment horizontal="center" vertical="center"/>
    </xf>
    <xf numFmtId="164" fontId="0" fillId="0" borderId="0" xfId="0" applyNumberFormat="1"/>
    <xf numFmtId="165" fontId="0" fillId="0" borderId="0" xfId="0" applyNumberFormat="1"/>
    <xf numFmtId="0" fontId="0" fillId="0" borderId="0" xfId="0" applyAlignment="1">
      <alignment vertical="center"/>
    </xf>
    <xf numFmtId="164" fontId="0" fillId="0" borderId="0" xfId="0" applyNumberFormat="1" applyAlignment="1">
      <alignment vertical="center" wrapText="1"/>
    </xf>
    <xf numFmtId="164" fontId="0" fillId="0" borderId="0" xfId="0" applyNumberFormat="1" applyAlignment="1">
      <alignment horizontal="left" vertical="center" wrapText="1"/>
    </xf>
    <xf numFmtId="165" fontId="0" fillId="0" borderId="0" xfId="0" applyNumberFormat="1" applyAlignment="1">
      <alignment horizontal="center" vertical="center"/>
    </xf>
    <xf numFmtId="165" fontId="4" fillId="0" borderId="0" xfId="0" applyNumberFormat="1" applyFont="1" applyAlignment="1">
      <alignment horizontal="center" vertical="center"/>
    </xf>
    <xf numFmtId="15" fontId="0" fillId="0" borderId="0" xfId="0" applyNumberFormat="1"/>
    <xf numFmtId="0" fontId="0" fillId="16" borderId="7" xfId="0" applyFill="1" applyBorder="1"/>
    <xf numFmtId="0" fontId="0" fillId="16" borderId="3" xfId="0" applyFill="1" applyBorder="1"/>
    <xf numFmtId="0" fontId="0" fillId="16" borderId="0" xfId="0" applyFill="1"/>
    <xf numFmtId="164" fontId="0" fillId="4" borderId="0" xfId="0" applyNumberFormat="1" applyFill="1" applyBorder="1"/>
    <xf numFmtId="0" fontId="2" fillId="0" borderId="0" xfId="0" applyFont="1" applyAlignment="1">
      <alignment horizontal="center" vertical="center"/>
    </xf>
    <xf numFmtId="0" fontId="2" fillId="0" borderId="12" xfId="0" applyFont="1" applyBorder="1" applyAlignment="1">
      <alignment horizontal="center" vertical="center"/>
    </xf>
    <xf numFmtId="0" fontId="0" fillId="0" borderId="14" xfId="0" applyBorder="1" applyAlignment="1">
      <alignment horizontal="center" vertical="center" wrapText="1"/>
    </xf>
    <xf numFmtId="0" fontId="0" fillId="0" borderId="0" xfId="0" applyAlignment="1">
      <alignment horizontal="center" vertical="center" wrapText="1"/>
    </xf>
    <xf numFmtId="0" fontId="2" fillId="3" borderId="4" xfId="0" applyFont="1" applyFill="1" applyBorder="1" applyAlignment="1">
      <alignment horizontal="center"/>
    </xf>
    <xf numFmtId="0" fontId="2" fillId="2" borderId="4" xfId="0" applyFont="1" applyFill="1" applyBorder="1" applyAlignment="1">
      <alignment horizontal="center"/>
    </xf>
    <xf numFmtId="0" fontId="2" fillId="5" borderId="4" xfId="0" applyFont="1" applyFill="1" applyBorder="1" applyAlignment="1">
      <alignment horizontal="center"/>
    </xf>
  </cellXfs>
  <cellStyles count="1">
    <cellStyle name="Normal" xfId="0" builtinId="0"/>
  </cellStyles>
  <dxfs count="4">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2BEB8"/>
      <color rgb="FFDCD5DF"/>
      <color rgb="FFF8BDC8"/>
      <color rgb="FFB2D6D6"/>
      <color rgb="FFB8F1E1"/>
      <color rgb="FFFF7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Grover!$C$6</c:f>
              <c:strCache>
                <c:ptCount val="1"/>
              </c:strCache>
            </c:strRef>
          </c:tx>
          <c:spPr>
            <a:ln w="19050" cap="rnd">
              <a:noFill/>
              <a:round/>
            </a:ln>
            <a:effectLst/>
          </c:spPr>
          <c:marker>
            <c:symbol val="circle"/>
            <c:size val="5"/>
            <c:spPr>
              <a:solidFill>
                <a:schemeClr val="accent1"/>
              </a:solidFill>
              <a:ln w="9525">
                <a:solidFill>
                  <a:schemeClr val="accent1"/>
                </a:solidFill>
              </a:ln>
              <a:effectLst/>
            </c:spPr>
          </c:marker>
          <c:yVal>
            <c:numRef>
              <c:f>Grover!$C$7:$C$43</c:f>
              <c:numCache>
                <c:formatCode>General</c:formatCode>
                <c:ptCount val="37"/>
                <c:pt idx="0">
                  <c:v>0.1599999999999997</c:v>
                </c:pt>
                <c:pt idx="1">
                  <c:v>0.39999999999999969</c:v>
                </c:pt>
                <c:pt idx="2">
                  <c:v>0.5199999999999998</c:v>
                </c:pt>
                <c:pt idx="3">
                  <c:v>0.70999999999999974</c:v>
                </c:pt>
                <c:pt idx="4">
                  <c:v>0.72499999999999987</c:v>
                </c:pt>
                <c:pt idx="5">
                  <c:v>0.74999999999999978</c:v>
                </c:pt>
                <c:pt idx="6">
                  <c:v>0.7699999999999998</c:v>
                </c:pt>
                <c:pt idx="7">
                  <c:v>0.76499999999999968</c:v>
                </c:pt>
                <c:pt idx="9">
                  <c:v>0.75499999999999967</c:v>
                </c:pt>
                <c:pt idx="11">
                  <c:v>0.73999999999999977</c:v>
                </c:pt>
                <c:pt idx="12">
                  <c:v>0.74499999999999966</c:v>
                </c:pt>
                <c:pt idx="13">
                  <c:v>0.74499999999999966</c:v>
                </c:pt>
                <c:pt idx="14">
                  <c:v>0.70999999999999974</c:v>
                </c:pt>
                <c:pt idx="15">
                  <c:v>0.80999999999999983</c:v>
                </c:pt>
                <c:pt idx="17">
                  <c:v>0.82999999999999985</c:v>
                </c:pt>
                <c:pt idx="18">
                  <c:v>0.86999999999999988</c:v>
                </c:pt>
                <c:pt idx="19">
                  <c:v>0.84999999999999987</c:v>
                </c:pt>
                <c:pt idx="20">
                  <c:v>0.79999999999999982</c:v>
                </c:pt>
                <c:pt idx="22">
                  <c:v>0.19499999999999962</c:v>
                </c:pt>
                <c:pt idx="23">
                  <c:v>-0.16000000000000036</c:v>
                </c:pt>
                <c:pt idx="24">
                  <c:v>0.38499999999999979</c:v>
                </c:pt>
                <c:pt idx="25">
                  <c:v>0.56499999999999972</c:v>
                </c:pt>
                <c:pt idx="26">
                  <c:v>0.58499999999999974</c:v>
                </c:pt>
                <c:pt idx="27">
                  <c:v>0.70499999999999963</c:v>
                </c:pt>
                <c:pt idx="28">
                  <c:v>0.75499999999999967</c:v>
                </c:pt>
                <c:pt idx="29">
                  <c:v>0.78999999999999981</c:v>
                </c:pt>
                <c:pt idx="30">
                  <c:v>0.80499999999999972</c:v>
                </c:pt>
                <c:pt idx="32">
                  <c:v>0.83499999999999974</c:v>
                </c:pt>
                <c:pt idx="33">
                  <c:v>0.79999999999999982</c:v>
                </c:pt>
                <c:pt idx="34">
                  <c:v>0.4099999999999997</c:v>
                </c:pt>
                <c:pt idx="35">
                  <c:v>0.31999999999999984</c:v>
                </c:pt>
                <c:pt idx="36">
                  <c:v>-0.13000000000000034</c:v>
                </c:pt>
              </c:numCache>
            </c:numRef>
          </c:yVal>
          <c:smooth val="0"/>
          <c:extLst>
            <c:ext xmlns:c16="http://schemas.microsoft.com/office/drawing/2014/chart" uri="{C3380CC4-5D6E-409C-BE32-E72D297353CC}">
              <c16:uniqueId val="{00000000-A7A8-564D-8A0E-0300EBB9D09C}"/>
            </c:ext>
          </c:extLst>
        </c:ser>
        <c:dLbls>
          <c:showLegendKey val="0"/>
          <c:showVal val="0"/>
          <c:showCatName val="0"/>
          <c:showSerName val="0"/>
          <c:showPercent val="0"/>
          <c:showBubbleSize val="0"/>
        </c:dLbls>
        <c:axId val="1334882496"/>
        <c:axId val="1334884176"/>
      </c:scatterChart>
      <c:valAx>
        <c:axId val="133488249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884176"/>
        <c:crosses val="autoZero"/>
        <c:crossBetween val="midCat"/>
      </c:valAx>
      <c:valAx>
        <c:axId val="133488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8824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Oscar!$C$6</c:f>
              <c:strCache>
                <c:ptCount val="1"/>
              </c:strCache>
            </c:strRef>
          </c:tx>
          <c:spPr>
            <a:ln w="19050" cap="rnd">
              <a:noFill/>
              <a:round/>
            </a:ln>
            <a:effectLst/>
          </c:spPr>
          <c:marker>
            <c:symbol val="circle"/>
            <c:size val="5"/>
            <c:spPr>
              <a:solidFill>
                <a:schemeClr val="accent1"/>
              </a:solidFill>
              <a:ln w="9525">
                <a:solidFill>
                  <a:schemeClr val="accent1"/>
                </a:solidFill>
              </a:ln>
              <a:effectLst/>
            </c:spPr>
          </c:marker>
          <c:yVal>
            <c:numRef>
              <c:f>Oscar!$C$7:$C$52</c:f>
              <c:numCache>
                <c:formatCode>General</c:formatCode>
                <c:ptCount val="46"/>
                <c:pt idx="0">
                  <c:v>0.71000000000000019</c:v>
                </c:pt>
                <c:pt idx="1">
                  <c:v>0.86500000000000021</c:v>
                </c:pt>
                <c:pt idx="2">
                  <c:v>0.89000000000000012</c:v>
                </c:pt>
                <c:pt idx="3">
                  <c:v>0.88000000000000012</c:v>
                </c:pt>
                <c:pt idx="4">
                  <c:v>0.88000000000000012</c:v>
                </c:pt>
                <c:pt idx="5">
                  <c:v>0.84000000000000008</c:v>
                </c:pt>
                <c:pt idx="7">
                  <c:v>0.82000000000000006</c:v>
                </c:pt>
                <c:pt idx="8">
                  <c:v>0.87000000000000011</c:v>
                </c:pt>
                <c:pt idx="9">
                  <c:v>0.77</c:v>
                </c:pt>
                <c:pt idx="10">
                  <c:v>0.72</c:v>
                </c:pt>
                <c:pt idx="11">
                  <c:v>0.67999999999999994</c:v>
                </c:pt>
                <c:pt idx="12">
                  <c:v>0.69</c:v>
                </c:pt>
                <c:pt idx="13">
                  <c:v>0.85000000000000009</c:v>
                </c:pt>
                <c:pt idx="14">
                  <c:v>0.83000000000000007</c:v>
                </c:pt>
                <c:pt idx="15">
                  <c:v>0.83000000000000007</c:v>
                </c:pt>
                <c:pt idx="16">
                  <c:v>0.82000000000000006</c:v>
                </c:pt>
                <c:pt idx="17">
                  <c:v>0.79</c:v>
                </c:pt>
                <c:pt idx="18">
                  <c:v>0.81</c:v>
                </c:pt>
                <c:pt idx="19">
                  <c:v>0.6100000000000001</c:v>
                </c:pt>
                <c:pt idx="20">
                  <c:v>0.62000000000000011</c:v>
                </c:pt>
                <c:pt idx="21">
                  <c:v>0.59000000000000008</c:v>
                </c:pt>
                <c:pt idx="23">
                  <c:v>0.92500000000000004</c:v>
                </c:pt>
                <c:pt idx="24">
                  <c:v>1.03</c:v>
                </c:pt>
                <c:pt idx="26">
                  <c:v>1</c:v>
                </c:pt>
                <c:pt idx="28">
                  <c:v>0.9850000000000001</c:v>
                </c:pt>
                <c:pt idx="30">
                  <c:v>0.97500000000000009</c:v>
                </c:pt>
                <c:pt idx="31">
                  <c:v>0.96500000000000008</c:v>
                </c:pt>
                <c:pt idx="33">
                  <c:v>0.98</c:v>
                </c:pt>
                <c:pt idx="34">
                  <c:v>0.99</c:v>
                </c:pt>
                <c:pt idx="36">
                  <c:v>0.9800000000000002</c:v>
                </c:pt>
                <c:pt idx="38">
                  <c:v>1.0000000000000002</c:v>
                </c:pt>
                <c:pt idx="39">
                  <c:v>0.99000000000000021</c:v>
                </c:pt>
                <c:pt idx="41">
                  <c:v>0.94500000000000028</c:v>
                </c:pt>
                <c:pt idx="42">
                  <c:v>0.92000000000000037</c:v>
                </c:pt>
                <c:pt idx="43">
                  <c:v>0.87500000000000022</c:v>
                </c:pt>
                <c:pt idx="44">
                  <c:v>0.58000000000000029</c:v>
                </c:pt>
                <c:pt idx="45">
                  <c:v>0.99500000000000033</c:v>
                </c:pt>
              </c:numCache>
            </c:numRef>
          </c:yVal>
          <c:smooth val="0"/>
          <c:extLst>
            <c:ext xmlns:c16="http://schemas.microsoft.com/office/drawing/2014/chart" uri="{C3380CC4-5D6E-409C-BE32-E72D297353CC}">
              <c16:uniqueId val="{00000000-A06C-4340-A625-C8FC68E671B3}"/>
            </c:ext>
          </c:extLst>
        </c:ser>
        <c:dLbls>
          <c:showLegendKey val="0"/>
          <c:showVal val="0"/>
          <c:showCatName val="0"/>
          <c:showSerName val="0"/>
          <c:showPercent val="0"/>
          <c:showBubbleSize val="0"/>
        </c:dLbls>
        <c:axId val="1335892736"/>
        <c:axId val="1336028480"/>
      </c:scatterChart>
      <c:valAx>
        <c:axId val="133589273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028480"/>
        <c:crosses val="autoZero"/>
        <c:crossBetween val="midCat"/>
      </c:valAx>
      <c:valAx>
        <c:axId val="133602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8927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BertErnie!$C$7:$C$35</c:f>
              <c:numCache>
                <c:formatCode>General</c:formatCode>
                <c:ptCount val="29"/>
                <c:pt idx="0">
                  <c:v>0.24</c:v>
                </c:pt>
                <c:pt idx="1">
                  <c:v>0.51</c:v>
                </c:pt>
                <c:pt idx="2">
                  <c:v>0.6100000000000001</c:v>
                </c:pt>
                <c:pt idx="3">
                  <c:v>0.63000000000000012</c:v>
                </c:pt>
                <c:pt idx="4">
                  <c:v>0.63000000000000012</c:v>
                </c:pt>
                <c:pt idx="5">
                  <c:v>0.66000000000000014</c:v>
                </c:pt>
                <c:pt idx="6">
                  <c:v>0.79</c:v>
                </c:pt>
                <c:pt idx="7">
                  <c:v>0.96000000000000019</c:v>
                </c:pt>
                <c:pt idx="9">
                  <c:v>0.76000000000000023</c:v>
                </c:pt>
                <c:pt idx="10">
                  <c:v>0.75000000000000022</c:v>
                </c:pt>
                <c:pt idx="11">
                  <c:v>0.76000000000000023</c:v>
                </c:pt>
                <c:pt idx="12">
                  <c:v>0.75000000000000022</c:v>
                </c:pt>
                <c:pt idx="13">
                  <c:v>0.74000000000000021</c:v>
                </c:pt>
                <c:pt idx="15">
                  <c:v>0.71000000000000019</c:v>
                </c:pt>
                <c:pt idx="16">
                  <c:v>0.70000000000000018</c:v>
                </c:pt>
                <c:pt idx="18">
                  <c:v>0.69500000000000028</c:v>
                </c:pt>
                <c:pt idx="19">
                  <c:v>0.64000000000000012</c:v>
                </c:pt>
                <c:pt idx="20">
                  <c:v>0.6100000000000001</c:v>
                </c:pt>
                <c:pt idx="21">
                  <c:v>0.58000000000000029</c:v>
                </c:pt>
                <c:pt idx="22">
                  <c:v>0.53000000000000025</c:v>
                </c:pt>
                <c:pt idx="23">
                  <c:v>0.49000000000000021</c:v>
                </c:pt>
                <c:pt idx="24">
                  <c:v>0.45000000000000018</c:v>
                </c:pt>
                <c:pt idx="25">
                  <c:v>0.4800000000000002</c:v>
                </c:pt>
                <c:pt idx="27">
                  <c:v>0.51000000000000023</c:v>
                </c:pt>
                <c:pt idx="28">
                  <c:v>0.68000000000000016</c:v>
                </c:pt>
              </c:numCache>
            </c:numRef>
          </c:yVal>
          <c:smooth val="0"/>
          <c:extLst>
            <c:ext xmlns:c16="http://schemas.microsoft.com/office/drawing/2014/chart" uri="{C3380CC4-5D6E-409C-BE32-E72D297353CC}">
              <c16:uniqueId val="{00000000-3D75-0344-AEC0-6B81B40CCAFF}"/>
            </c:ext>
          </c:extLst>
        </c:ser>
        <c:dLbls>
          <c:showLegendKey val="0"/>
          <c:showVal val="0"/>
          <c:showCatName val="0"/>
          <c:showSerName val="0"/>
          <c:showPercent val="0"/>
          <c:showBubbleSize val="0"/>
        </c:dLbls>
        <c:axId val="1497690960"/>
        <c:axId val="1539603824"/>
      </c:scatterChart>
      <c:valAx>
        <c:axId val="149769096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603824"/>
        <c:crosses val="autoZero"/>
        <c:crossBetween val="midCat"/>
      </c:valAx>
      <c:valAx>
        <c:axId val="153960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690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yVal>
            <c:numRef>
              <c:f>BertErnie!#REF!</c:f>
              <c:numCache>
                <c:formatCode>General</c:formatCode>
                <c:ptCount val="1"/>
                <c:pt idx="0">
                  <c:v>1</c:v>
                </c:pt>
              </c:numCache>
            </c:numRef>
          </c:yVal>
          <c:smooth val="0"/>
          <c:extLst>
            <c:ext xmlns:c16="http://schemas.microsoft.com/office/drawing/2014/chart" uri="{C3380CC4-5D6E-409C-BE32-E72D297353CC}">
              <c16:uniqueId val="{00000000-3DE8-2E4A-B840-4D2D0562AAF0}"/>
            </c:ext>
          </c:extLst>
        </c:ser>
        <c:dLbls>
          <c:showLegendKey val="0"/>
          <c:showVal val="0"/>
          <c:showCatName val="0"/>
          <c:showSerName val="0"/>
          <c:showPercent val="0"/>
          <c:showBubbleSize val="0"/>
        </c:dLbls>
        <c:axId val="1513848624"/>
        <c:axId val="1513802400"/>
      </c:scatterChart>
      <c:valAx>
        <c:axId val="151384862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802400"/>
        <c:crosses val="autoZero"/>
        <c:crossBetween val="midCat"/>
      </c:valAx>
      <c:valAx>
        <c:axId val="1513802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8486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'BigBird (Fangyi)'!$C$7:$C$50</c:f>
              <c:numCache>
                <c:formatCode>General</c:formatCode>
                <c:ptCount val="44"/>
                <c:pt idx="0">
                  <c:v>0.32000000000000006</c:v>
                </c:pt>
                <c:pt idx="1">
                  <c:v>0.49000000000000021</c:v>
                </c:pt>
                <c:pt idx="2">
                  <c:v>0.56000000000000005</c:v>
                </c:pt>
                <c:pt idx="3">
                  <c:v>0.58000000000000007</c:v>
                </c:pt>
                <c:pt idx="4">
                  <c:v>0.63000000000000012</c:v>
                </c:pt>
                <c:pt idx="5">
                  <c:v>0.67000000000000015</c:v>
                </c:pt>
                <c:pt idx="6">
                  <c:v>0.67000000000000015</c:v>
                </c:pt>
                <c:pt idx="7">
                  <c:v>0.65500000000000025</c:v>
                </c:pt>
                <c:pt idx="9">
                  <c:v>0.65000000000000013</c:v>
                </c:pt>
                <c:pt idx="10">
                  <c:v>0.65500000000000025</c:v>
                </c:pt>
                <c:pt idx="11">
                  <c:v>0.63500000000000023</c:v>
                </c:pt>
                <c:pt idx="13">
                  <c:v>0.6050000000000002</c:v>
                </c:pt>
                <c:pt idx="14">
                  <c:v>0.5950000000000002</c:v>
                </c:pt>
                <c:pt idx="15">
                  <c:v>0.42500000000000004</c:v>
                </c:pt>
                <c:pt idx="16">
                  <c:v>0.38500000000000023</c:v>
                </c:pt>
                <c:pt idx="18">
                  <c:v>0.37500000000000022</c:v>
                </c:pt>
                <c:pt idx="19">
                  <c:v>0.33500000000000041</c:v>
                </c:pt>
                <c:pt idx="20">
                  <c:v>0.38500000000000023</c:v>
                </c:pt>
                <c:pt idx="21">
                  <c:v>0.37500000000000022</c:v>
                </c:pt>
                <c:pt idx="22">
                  <c:v>0.43500000000000028</c:v>
                </c:pt>
                <c:pt idx="24">
                  <c:v>0.56500000000000017</c:v>
                </c:pt>
                <c:pt idx="25">
                  <c:v>0.5950000000000002</c:v>
                </c:pt>
                <c:pt idx="26">
                  <c:v>0.5950000000000002</c:v>
                </c:pt>
                <c:pt idx="28">
                  <c:v>0.6050000000000002</c:v>
                </c:pt>
                <c:pt idx="29">
                  <c:v>0.625</c:v>
                </c:pt>
                <c:pt idx="31">
                  <c:v>0.65500000000000003</c:v>
                </c:pt>
                <c:pt idx="32">
                  <c:v>0.67500000000000004</c:v>
                </c:pt>
                <c:pt idx="34">
                  <c:v>0.70500000000000007</c:v>
                </c:pt>
                <c:pt idx="35">
                  <c:v>0.61499999999999999</c:v>
                </c:pt>
                <c:pt idx="36">
                  <c:v>0.60499999999999998</c:v>
                </c:pt>
                <c:pt idx="38">
                  <c:v>0.5950000000000002</c:v>
                </c:pt>
                <c:pt idx="39">
                  <c:v>0.55500000000000016</c:v>
                </c:pt>
                <c:pt idx="40">
                  <c:v>0.50500000000000012</c:v>
                </c:pt>
                <c:pt idx="41">
                  <c:v>0.42500000000000004</c:v>
                </c:pt>
                <c:pt idx="42">
                  <c:v>0.38500000000000001</c:v>
                </c:pt>
                <c:pt idx="43">
                  <c:v>0.125</c:v>
                </c:pt>
              </c:numCache>
            </c:numRef>
          </c:yVal>
          <c:smooth val="0"/>
          <c:extLst>
            <c:ext xmlns:c16="http://schemas.microsoft.com/office/drawing/2014/chart" uri="{C3380CC4-5D6E-409C-BE32-E72D297353CC}">
              <c16:uniqueId val="{00000000-35C4-8C4E-8F43-9AF43B6038B7}"/>
            </c:ext>
          </c:extLst>
        </c:ser>
        <c:dLbls>
          <c:showLegendKey val="0"/>
          <c:showVal val="0"/>
          <c:showCatName val="0"/>
          <c:showSerName val="0"/>
          <c:showPercent val="0"/>
          <c:showBubbleSize val="0"/>
        </c:dLbls>
        <c:axId val="1376656960"/>
        <c:axId val="1378080368"/>
      </c:scatterChart>
      <c:valAx>
        <c:axId val="137665696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080368"/>
        <c:crosses val="autoZero"/>
        <c:crossBetween val="midCat"/>
      </c:valAx>
      <c:valAx>
        <c:axId val="1378080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656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'BigBird (Nicole)'!$C$6:$C$50</c:f>
              <c:numCache>
                <c:formatCode>General</c:formatCode>
                <c:ptCount val="45"/>
                <c:pt idx="0">
                  <c:v>0.32000000000000006</c:v>
                </c:pt>
                <c:pt idx="1">
                  <c:v>0.49000000000000021</c:v>
                </c:pt>
                <c:pt idx="2">
                  <c:v>0.56000000000000005</c:v>
                </c:pt>
                <c:pt idx="3">
                  <c:v>0.58000000000000007</c:v>
                </c:pt>
                <c:pt idx="4">
                  <c:v>0.63000000000000012</c:v>
                </c:pt>
                <c:pt idx="5">
                  <c:v>0.67000000000000015</c:v>
                </c:pt>
                <c:pt idx="6">
                  <c:v>0.67000000000000015</c:v>
                </c:pt>
                <c:pt idx="7">
                  <c:v>0.65500000000000025</c:v>
                </c:pt>
                <c:pt idx="8">
                  <c:v>0.76000000000000023</c:v>
                </c:pt>
                <c:pt idx="10">
                  <c:v>0.75500000000000012</c:v>
                </c:pt>
                <c:pt idx="11">
                  <c:v>0.76000000000000023</c:v>
                </c:pt>
                <c:pt idx="12">
                  <c:v>0.74000000000000021</c:v>
                </c:pt>
                <c:pt idx="14">
                  <c:v>0.7300000000000002</c:v>
                </c:pt>
                <c:pt idx="15">
                  <c:v>0.56000000000000005</c:v>
                </c:pt>
                <c:pt idx="16">
                  <c:v>0.52000000000000024</c:v>
                </c:pt>
                <c:pt idx="17">
                  <c:v>0.85000000000000009</c:v>
                </c:pt>
                <c:pt idx="19">
                  <c:v>0.84000000000000008</c:v>
                </c:pt>
                <c:pt idx="20">
                  <c:v>0.80000000000000027</c:v>
                </c:pt>
                <c:pt idx="21">
                  <c:v>0.85000000000000009</c:v>
                </c:pt>
                <c:pt idx="22">
                  <c:v>0.84000000000000008</c:v>
                </c:pt>
                <c:pt idx="23">
                  <c:v>0.90000000000000013</c:v>
                </c:pt>
                <c:pt idx="25">
                  <c:v>1.03</c:v>
                </c:pt>
                <c:pt idx="26">
                  <c:v>1.06</c:v>
                </c:pt>
                <c:pt idx="27">
                  <c:v>1.06</c:v>
                </c:pt>
                <c:pt idx="29">
                  <c:v>1.07</c:v>
                </c:pt>
                <c:pt idx="30">
                  <c:v>1.0899999999999999</c:v>
                </c:pt>
                <c:pt idx="32">
                  <c:v>1.1199999999999999</c:v>
                </c:pt>
                <c:pt idx="33">
                  <c:v>1.1399999999999999</c:v>
                </c:pt>
                <c:pt idx="35">
                  <c:v>1.17</c:v>
                </c:pt>
                <c:pt idx="36">
                  <c:v>1.0799999999999998</c:v>
                </c:pt>
                <c:pt idx="37">
                  <c:v>1.0699999999999998</c:v>
                </c:pt>
                <c:pt idx="39">
                  <c:v>1.06</c:v>
                </c:pt>
                <c:pt idx="40">
                  <c:v>1.02</c:v>
                </c:pt>
                <c:pt idx="41">
                  <c:v>0.97</c:v>
                </c:pt>
                <c:pt idx="42">
                  <c:v>0.8899999999999999</c:v>
                </c:pt>
                <c:pt idx="43">
                  <c:v>0.84999999999999987</c:v>
                </c:pt>
                <c:pt idx="44">
                  <c:v>0.58999999999999986</c:v>
                </c:pt>
              </c:numCache>
            </c:numRef>
          </c:yVal>
          <c:smooth val="0"/>
          <c:extLst>
            <c:ext xmlns:c16="http://schemas.microsoft.com/office/drawing/2014/chart" uri="{C3380CC4-5D6E-409C-BE32-E72D297353CC}">
              <c16:uniqueId val="{00000000-8D33-6246-8020-BC0FC0DD40B7}"/>
            </c:ext>
          </c:extLst>
        </c:ser>
        <c:dLbls>
          <c:showLegendKey val="0"/>
          <c:showVal val="0"/>
          <c:showCatName val="0"/>
          <c:showSerName val="0"/>
          <c:showPercent val="0"/>
          <c:showBubbleSize val="0"/>
        </c:dLbls>
        <c:axId val="1376656960"/>
        <c:axId val="1378080368"/>
      </c:scatterChart>
      <c:valAx>
        <c:axId val="137665696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080368"/>
        <c:crosses val="autoZero"/>
        <c:crossBetween val="midCat"/>
      </c:valAx>
      <c:valAx>
        <c:axId val="1378080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656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CookieMonster!$C$7:$C$24</c:f>
              <c:numCache>
                <c:formatCode>General</c:formatCode>
                <c:ptCount val="18"/>
                <c:pt idx="0">
                  <c:v>5.0000000000001155E-3</c:v>
                </c:pt>
                <c:pt idx="1">
                  <c:v>0.12000000000000011</c:v>
                </c:pt>
                <c:pt idx="2">
                  <c:v>0.2350000000000001</c:v>
                </c:pt>
                <c:pt idx="3">
                  <c:v>0.33000000000000007</c:v>
                </c:pt>
                <c:pt idx="5">
                  <c:v>0.375</c:v>
                </c:pt>
                <c:pt idx="6">
                  <c:v>0.38000000000000012</c:v>
                </c:pt>
                <c:pt idx="7">
                  <c:v>0.38000000000000012</c:v>
                </c:pt>
                <c:pt idx="9">
                  <c:v>0.37500000000000022</c:v>
                </c:pt>
                <c:pt idx="10">
                  <c:v>0.39500000000000024</c:v>
                </c:pt>
                <c:pt idx="11">
                  <c:v>0.44000000000000017</c:v>
                </c:pt>
                <c:pt idx="12">
                  <c:v>0.40000000000000013</c:v>
                </c:pt>
                <c:pt idx="13">
                  <c:v>0.32500000000000018</c:v>
                </c:pt>
                <c:pt idx="14">
                  <c:v>0.27500000000000013</c:v>
                </c:pt>
                <c:pt idx="15">
                  <c:v>8.5000000000000187E-2</c:v>
                </c:pt>
                <c:pt idx="16">
                  <c:v>-0.16499999999999981</c:v>
                </c:pt>
                <c:pt idx="17">
                  <c:v>-0.2649999999999999</c:v>
                </c:pt>
              </c:numCache>
            </c:numRef>
          </c:yVal>
          <c:smooth val="0"/>
          <c:extLst>
            <c:ext xmlns:c16="http://schemas.microsoft.com/office/drawing/2014/chart" uri="{C3380CC4-5D6E-409C-BE32-E72D297353CC}">
              <c16:uniqueId val="{00000000-A582-004B-B9FE-0795E8FF08DB}"/>
            </c:ext>
          </c:extLst>
        </c:ser>
        <c:dLbls>
          <c:showLegendKey val="0"/>
          <c:showVal val="0"/>
          <c:showCatName val="0"/>
          <c:showSerName val="0"/>
          <c:showPercent val="0"/>
          <c:showBubbleSize val="0"/>
        </c:dLbls>
        <c:axId val="2016753200"/>
        <c:axId val="2016754880"/>
      </c:scatterChart>
      <c:valAx>
        <c:axId val="201675320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754880"/>
        <c:crosses val="autoZero"/>
        <c:crossBetween val="midCat"/>
      </c:valAx>
      <c:valAx>
        <c:axId val="2016754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7532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none"/>
          </c:marker>
          <c:xVal>
            <c:numRef>
              <c:f>Stratigraphy!$L$4:$M$4</c:f>
              <c:numCache>
                <c:formatCode>General</c:formatCode>
                <c:ptCount val="2"/>
                <c:pt idx="0">
                  <c:v>0</c:v>
                </c:pt>
                <c:pt idx="1">
                  <c:v>0</c:v>
                </c:pt>
              </c:numCache>
            </c:numRef>
          </c:xVal>
          <c:yVal>
            <c:numRef>
              <c:f>Stratigraphy!$L$5:$M$5</c:f>
              <c:numCache>
                <c:formatCode>General</c:formatCode>
                <c:ptCount val="2"/>
                <c:pt idx="0">
                  <c:v>12</c:v>
                </c:pt>
                <c:pt idx="1">
                  <c:v>0</c:v>
                </c:pt>
              </c:numCache>
            </c:numRef>
          </c:yVal>
          <c:smooth val="0"/>
          <c:extLst>
            <c:ext xmlns:c16="http://schemas.microsoft.com/office/drawing/2014/chart" uri="{C3380CC4-5D6E-409C-BE32-E72D297353CC}">
              <c16:uniqueId val="{00000000-7FDD-C445-8836-B39839D4B7D7}"/>
            </c:ext>
          </c:extLst>
        </c:ser>
        <c:dLbls>
          <c:showLegendKey val="0"/>
          <c:showVal val="0"/>
          <c:showCatName val="0"/>
          <c:showSerName val="0"/>
          <c:showPercent val="0"/>
          <c:showBubbleSize val="0"/>
        </c:dLbls>
        <c:axId val="1366645648"/>
        <c:axId val="1366805600"/>
      </c:scatterChart>
      <c:valAx>
        <c:axId val="1366645648"/>
        <c:scaling>
          <c:orientation val="minMax"/>
        </c:scaling>
        <c:delete val="0"/>
        <c:axPos val="t"/>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805600"/>
        <c:crosses val="autoZero"/>
        <c:crossBetween val="midCat"/>
      </c:valAx>
      <c:valAx>
        <c:axId val="1366805600"/>
        <c:scaling>
          <c:orientation val="maxMin"/>
          <c:max val="12"/>
        </c:scaling>
        <c:delete val="0"/>
        <c:axPos val="l"/>
        <c:numFmt formatCode="General" sourceLinked="1"/>
        <c:majorTickMark val="out"/>
        <c:minorTickMark val="out"/>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645648"/>
        <c:crosses val="autoZero"/>
        <c:crossBetween val="midCat"/>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9</xdr:col>
      <xdr:colOff>789708</xdr:colOff>
      <xdr:row>4</xdr:row>
      <xdr:rowOff>5196</xdr:rowOff>
    </xdr:from>
    <xdr:to>
      <xdr:col>20</xdr:col>
      <xdr:colOff>438727</xdr:colOff>
      <xdr:row>17</xdr:row>
      <xdr:rowOff>105641</xdr:rowOff>
    </xdr:to>
    <xdr:graphicFrame macro="">
      <xdr:nvGraphicFramePr>
        <xdr:cNvPr id="2" name="Chart 1">
          <a:extLst>
            <a:ext uri="{FF2B5EF4-FFF2-40B4-BE49-F238E27FC236}">
              <a16:creationId xmlns:a16="http://schemas.microsoft.com/office/drawing/2014/main" id="{DF312C60-E8E1-B64A-B2B2-30DA02E711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808181</xdr:colOff>
      <xdr:row>18</xdr:row>
      <xdr:rowOff>129887</xdr:rowOff>
    </xdr:from>
    <xdr:to>
      <xdr:col>19</xdr:col>
      <xdr:colOff>570345</xdr:colOff>
      <xdr:row>46</xdr:row>
      <xdr:rowOff>98714</xdr:rowOff>
    </xdr:to>
    <xdr:pic>
      <xdr:nvPicPr>
        <xdr:cNvPr id="3" name="Picture 2">
          <a:extLst>
            <a:ext uri="{FF2B5EF4-FFF2-40B4-BE49-F238E27FC236}">
              <a16:creationId xmlns:a16="http://schemas.microsoft.com/office/drawing/2014/main" id="{34CEF392-A12A-AC4A-B168-2A5E8F459D19}"/>
            </a:ext>
          </a:extLst>
        </xdr:cNvPr>
        <xdr:cNvPicPr>
          <a:picLocks noChangeAspect="1"/>
        </xdr:cNvPicPr>
      </xdr:nvPicPr>
      <xdr:blipFill>
        <a:blip xmlns:r="http://schemas.openxmlformats.org/officeDocument/2006/relationships" r:embed="rId2"/>
        <a:stretch>
          <a:fillRect/>
        </a:stretch>
      </xdr:blipFill>
      <xdr:spPr>
        <a:xfrm>
          <a:off x="13753522" y="3766705"/>
          <a:ext cx="8623300" cy="5626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237067</xdr:colOff>
      <xdr:row>4</xdr:row>
      <xdr:rowOff>16080</xdr:rowOff>
    </xdr:from>
    <xdr:to>
      <xdr:col>30</xdr:col>
      <xdr:colOff>524934</xdr:colOff>
      <xdr:row>17</xdr:row>
      <xdr:rowOff>117680</xdr:rowOff>
    </xdr:to>
    <xdr:graphicFrame macro="">
      <xdr:nvGraphicFramePr>
        <xdr:cNvPr id="2" name="Chart 1">
          <a:extLst>
            <a:ext uri="{FF2B5EF4-FFF2-40B4-BE49-F238E27FC236}">
              <a16:creationId xmlns:a16="http://schemas.microsoft.com/office/drawing/2014/main" id="{040732A8-A401-2D4E-A5F2-465BC26F36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705555</xdr:colOff>
      <xdr:row>19</xdr:row>
      <xdr:rowOff>14112</xdr:rowOff>
    </xdr:from>
    <xdr:to>
      <xdr:col>30</xdr:col>
      <xdr:colOff>517877</xdr:colOff>
      <xdr:row>45</xdr:row>
      <xdr:rowOff>8468</xdr:rowOff>
    </xdr:to>
    <xdr:pic>
      <xdr:nvPicPr>
        <xdr:cNvPr id="3" name="Picture 2">
          <a:extLst>
            <a:ext uri="{FF2B5EF4-FFF2-40B4-BE49-F238E27FC236}">
              <a16:creationId xmlns:a16="http://schemas.microsoft.com/office/drawing/2014/main" id="{6F46F107-B808-4740-9390-AF1F5D4C2CCE}"/>
            </a:ext>
          </a:extLst>
        </xdr:cNvPr>
        <xdr:cNvPicPr>
          <a:picLocks noChangeAspect="1"/>
        </xdr:cNvPicPr>
      </xdr:nvPicPr>
      <xdr:blipFill>
        <a:blip xmlns:r="http://schemas.openxmlformats.org/officeDocument/2006/relationships" r:embed="rId2"/>
        <a:stretch>
          <a:fillRect/>
        </a:stretch>
      </xdr:blipFill>
      <xdr:spPr>
        <a:xfrm>
          <a:off x="23283333" y="4219223"/>
          <a:ext cx="8674100" cy="5130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565150</xdr:colOff>
      <xdr:row>4</xdr:row>
      <xdr:rowOff>120650</xdr:rowOff>
    </xdr:from>
    <xdr:to>
      <xdr:col>19</xdr:col>
      <xdr:colOff>673100</xdr:colOff>
      <xdr:row>16</xdr:row>
      <xdr:rowOff>88900</xdr:rowOff>
    </xdr:to>
    <xdr:graphicFrame macro="">
      <xdr:nvGraphicFramePr>
        <xdr:cNvPr id="3" name="Chart 2">
          <a:extLst>
            <a:ext uri="{FF2B5EF4-FFF2-40B4-BE49-F238E27FC236}">
              <a16:creationId xmlns:a16="http://schemas.microsoft.com/office/drawing/2014/main" id="{FF914237-D0D7-3549-ACBD-C152FE706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387350</xdr:colOff>
      <xdr:row>18</xdr:row>
      <xdr:rowOff>107950</xdr:rowOff>
    </xdr:from>
    <xdr:to>
      <xdr:col>19</xdr:col>
      <xdr:colOff>330200</xdr:colOff>
      <xdr:row>34</xdr:row>
      <xdr:rowOff>63500</xdr:rowOff>
    </xdr:to>
    <xdr:graphicFrame macro="">
      <xdr:nvGraphicFramePr>
        <xdr:cNvPr id="5" name="Chart 4">
          <a:extLst>
            <a:ext uri="{FF2B5EF4-FFF2-40B4-BE49-F238E27FC236}">
              <a16:creationId xmlns:a16="http://schemas.microsoft.com/office/drawing/2014/main" id="{65DFF72E-1944-444A-8AAB-83A9CC548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444500</xdr:colOff>
      <xdr:row>34</xdr:row>
      <xdr:rowOff>101600</xdr:rowOff>
    </xdr:from>
    <xdr:to>
      <xdr:col>6</xdr:col>
      <xdr:colOff>12700</xdr:colOff>
      <xdr:row>54</xdr:row>
      <xdr:rowOff>12241</xdr:rowOff>
    </xdr:to>
    <xdr:pic>
      <xdr:nvPicPr>
        <xdr:cNvPr id="2" name="Picture 1">
          <a:extLst>
            <a:ext uri="{FF2B5EF4-FFF2-40B4-BE49-F238E27FC236}">
              <a16:creationId xmlns:a16="http://schemas.microsoft.com/office/drawing/2014/main" id="{C3945E22-3EA4-0A4E-BD6F-9948790AAC7B}"/>
            </a:ext>
          </a:extLst>
        </xdr:cNvPr>
        <xdr:cNvPicPr>
          <a:picLocks noChangeAspect="1"/>
        </xdr:cNvPicPr>
      </xdr:nvPicPr>
      <xdr:blipFill>
        <a:blip xmlns:r="http://schemas.openxmlformats.org/officeDocument/2006/relationships" r:embed="rId3"/>
        <a:stretch>
          <a:fillRect/>
        </a:stretch>
      </xdr:blipFill>
      <xdr:spPr>
        <a:xfrm>
          <a:off x="3263900" y="7239000"/>
          <a:ext cx="6883400" cy="397464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279400</xdr:colOff>
      <xdr:row>4</xdr:row>
      <xdr:rowOff>133350</xdr:rowOff>
    </xdr:from>
    <xdr:to>
      <xdr:col>22</xdr:col>
      <xdr:colOff>114300</xdr:colOff>
      <xdr:row>18</xdr:row>
      <xdr:rowOff>31750</xdr:rowOff>
    </xdr:to>
    <xdr:graphicFrame macro="">
      <xdr:nvGraphicFramePr>
        <xdr:cNvPr id="2" name="Chart 1">
          <a:extLst>
            <a:ext uri="{FF2B5EF4-FFF2-40B4-BE49-F238E27FC236}">
              <a16:creationId xmlns:a16="http://schemas.microsoft.com/office/drawing/2014/main" id="{18F0CCE0-7F8E-FC4C-B676-805F14D51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1003300</xdr:colOff>
      <xdr:row>19</xdr:row>
      <xdr:rowOff>201102</xdr:rowOff>
    </xdr:from>
    <xdr:to>
      <xdr:col>22</xdr:col>
      <xdr:colOff>558800</xdr:colOff>
      <xdr:row>43</xdr:row>
      <xdr:rowOff>63500</xdr:rowOff>
    </xdr:to>
    <xdr:pic>
      <xdr:nvPicPr>
        <xdr:cNvPr id="4" name="Picture 3">
          <a:extLst>
            <a:ext uri="{FF2B5EF4-FFF2-40B4-BE49-F238E27FC236}">
              <a16:creationId xmlns:a16="http://schemas.microsoft.com/office/drawing/2014/main" id="{AD7DC8C6-1AEB-CB4C-BBE0-2AE8B541BE14}"/>
            </a:ext>
          </a:extLst>
        </xdr:cNvPr>
        <xdr:cNvPicPr>
          <a:picLocks noChangeAspect="1"/>
        </xdr:cNvPicPr>
      </xdr:nvPicPr>
      <xdr:blipFill>
        <a:blip xmlns:r="http://schemas.openxmlformats.org/officeDocument/2006/relationships" r:embed="rId2"/>
        <a:stretch>
          <a:fillRect/>
        </a:stretch>
      </xdr:blipFill>
      <xdr:spPr>
        <a:xfrm>
          <a:off x="18605500" y="4290502"/>
          <a:ext cx="8051800" cy="473919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10</xdr:col>
      <xdr:colOff>292100</xdr:colOff>
      <xdr:row>1</xdr:row>
      <xdr:rowOff>19050</xdr:rowOff>
    </xdr:from>
    <xdr:to>
      <xdr:col>20</xdr:col>
      <xdr:colOff>241300</xdr:colOff>
      <xdr:row>14</xdr:row>
      <xdr:rowOff>120650</xdr:rowOff>
    </xdr:to>
    <xdr:graphicFrame macro="">
      <xdr:nvGraphicFramePr>
        <xdr:cNvPr id="2" name="Chart 1">
          <a:extLst>
            <a:ext uri="{FF2B5EF4-FFF2-40B4-BE49-F238E27FC236}">
              <a16:creationId xmlns:a16="http://schemas.microsoft.com/office/drawing/2014/main" id="{BD892922-5FF2-094C-86D5-4908E9AD31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15</xdr:col>
      <xdr:colOff>400050</xdr:colOff>
      <xdr:row>3</xdr:row>
      <xdr:rowOff>184150</xdr:rowOff>
    </xdr:from>
    <xdr:to>
      <xdr:col>25</xdr:col>
      <xdr:colOff>546100</xdr:colOff>
      <xdr:row>21</xdr:row>
      <xdr:rowOff>12700</xdr:rowOff>
    </xdr:to>
    <xdr:graphicFrame macro="">
      <xdr:nvGraphicFramePr>
        <xdr:cNvPr id="2" name="Chart 1">
          <a:extLst>
            <a:ext uri="{FF2B5EF4-FFF2-40B4-BE49-F238E27FC236}">
              <a16:creationId xmlns:a16="http://schemas.microsoft.com/office/drawing/2014/main" id="{3E869B98-445D-BD4E-97EE-044DF5549F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749300</xdr:colOff>
      <xdr:row>24</xdr:row>
      <xdr:rowOff>25400</xdr:rowOff>
    </xdr:from>
    <xdr:to>
      <xdr:col>15</xdr:col>
      <xdr:colOff>393700</xdr:colOff>
      <xdr:row>48</xdr:row>
      <xdr:rowOff>88900</xdr:rowOff>
    </xdr:to>
    <xdr:pic>
      <xdr:nvPicPr>
        <xdr:cNvPr id="3" name="Picture 2">
          <a:extLst>
            <a:ext uri="{FF2B5EF4-FFF2-40B4-BE49-F238E27FC236}">
              <a16:creationId xmlns:a16="http://schemas.microsoft.com/office/drawing/2014/main" id="{78B46E13-A60A-F642-9BC9-090914A5E509}"/>
            </a:ext>
          </a:extLst>
        </xdr:cNvPr>
        <xdr:cNvPicPr>
          <a:picLocks noChangeAspect="1"/>
        </xdr:cNvPicPr>
      </xdr:nvPicPr>
      <xdr:blipFill>
        <a:blip xmlns:r="http://schemas.openxmlformats.org/officeDocument/2006/relationships" r:embed="rId2"/>
        <a:stretch>
          <a:fillRect/>
        </a:stretch>
      </xdr:blipFill>
      <xdr:spPr>
        <a:xfrm>
          <a:off x="3378200" y="4902200"/>
          <a:ext cx="8483600" cy="49403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577850</xdr:colOff>
      <xdr:row>2</xdr:row>
      <xdr:rowOff>101600</xdr:rowOff>
    </xdr:from>
    <xdr:to>
      <xdr:col>8</xdr:col>
      <xdr:colOff>330200</xdr:colOff>
      <xdr:row>38</xdr:row>
      <xdr:rowOff>25400</xdr:rowOff>
    </xdr:to>
    <xdr:graphicFrame macro="">
      <xdr:nvGraphicFramePr>
        <xdr:cNvPr id="3" name="Chart 2">
          <a:extLst>
            <a:ext uri="{FF2B5EF4-FFF2-40B4-BE49-F238E27FC236}">
              <a16:creationId xmlns:a16="http://schemas.microsoft.com/office/drawing/2014/main" id="{9E8A99B0-73F4-B244-A11B-F7F4949913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A4861-3481-0D46-8CCA-600BCB08AD08}">
  <dimension ref="A1:E39"/>
  <sheetViews>
    <sheetView workbookViewId="0">
      <selection activeCell="C54" sqref="C54"/>
    </sheetView>
  </sheetViews>
  <sheetFormatPr baseColWidth="10" defaultRowHeight="16" x14ac:dyDescent="0.2"/>
  <cols>
    <col min="5" max="5" width="13.33203125" bestFit="1" customWidth="1"/>
  </cols>
  <sheetData>
    <row r="1" spans="1:5" x14ac:dyDescent="0.2">
      <c r="A1" t="s">
        <v>480</v>
      </c>
    </row>
    <row r="2" spans="1:5" x14ac:dyDescent="0.2">
      <c r="A2" t="s">
        <v>469</v>
      </c>
      <c r="B2" t="s">
        <v>470</v>
      </c>
      <c r="C2" t="s">
        <v>471</v>
      </c>
      <c r="D2" t="s">
        <v>472</v>
      </c>
      <c r="E2" t="s">
        <v>473</v>
      </c>
    </row>
    <row r="3" spans="1:5" x14ac:dyDescent="0.2">
      <c r="A3">
        <f>Grover!E7</f>
        <v>-0.38812999999999992</v>
      </c>
      <c r="B3">
        <f>Oscar!E7</f>
        <v>0.13310000000000066</v>
      </c>
      <c r="C3">
        <f>BertErnie!E7</f>
        <v>-3.3950000000000202E-2</v>
      </c>
      <c r="D3">
        <f>'BigBird (Fangyi)'!E7</f>
        <v>0.11407999999999907</v>
      </c>
      <c r="E3">
        <f>CookieMonster!E7</f>
        <v>7.0710000000000273E-2</v>
      </c>
    </row>
    <row r="4" spans="1:5" x14ac:dyDescent="0.2">
      <c r="A4">
        <f>Grover!E8</f>
        <v>-0.14812999999999993</v>
      </c>
      <c r="B4">
        <f>Oscar!E8</f>
        <v>0.28810000000000069</v>
      </c>
      <c r="C4">
        <f>BertErnie!E8</f>
        <v>0.23604999999999982</v>
      </c>
      <c r="D4">
        <f>'BigBird (Fangyi)'!E8</f>
        <v>0.28407999999999922</v>
      </c>
      <c r="E4">
        <f>CookieMonster!E8</f>
        <v>0.18571000000000026</v>
      </c>
    </row>
    <row r="5" spans="1:5" x14ac:dyDescent="0.2">
      <c r="A5">
        <f>Grover!E9</f>
        <v>-2.8129999999999822E-2</v>
      </c>
      <c r="B5">
        <f>Oscar!E9</f>
        <v>0.3131000000000006</v>
      </c>
      <c r="C5">
        <f>BertErnie!E9</f>
        <v>0.3360499999999999</v>
      </c>
      <c r="D5">
        <f>'BigBird (Fangyi)'!E9</f>
        <v>0.35407999999999906</v>
      </c>
      <c r="E5">
        <f>CookieMonster!E9</f>
        <v>0.30071000000000025</v>
      </c>
    </row>
    <row r="6" spans="1:5" x14ac:dyDescent="0.2">
      <c r="A6">
        <f>Grover!E10</f>
        <v>0.16187000000000012</v>
      </c>
      <c r="B6">
        <f>Oscar!E10</f>
        <v>0.30310000000000059</v>
      </c>
      <c r="C6">
        <f>BertErnie!E10</f>
        <v>0.35604999999999992</v>
      </c>
      <c r="D6">
        <f>'BigBird (Fangyi)'!E10</f>
        <v>0.37407999999999908</v>
      </c>
      <c r="E6">
        <f>CookieMonster!E10</f>
        <v>0.39571000000000023</v>
      </c>
    </row>
    <row r="7" spans="1:5" x14ac:dyDescent="0.2">
      <c r="A7">
        <f>Grover!E11</f>
        <v>0.17687000000000025</v>
      </c>
      <c r="B7">
        <f>Oscar!E11</f>
        <v>0.30310000000000059</v>
      </c>
      <c r="C7">
        <f>BertErnie!E11</f>
        <v>0.35604999999999992</v>
      </c>
      <c r="D7">
        <f>'BigBird (Fangyi)'!E11</f>
        <v>0.42407999999999912</v>
      </c>
      <c r="E7">
        <f>CookieMonster!E12</f>
        <v>0.44071000000000016</v>
      </c>
    </row>
    <row r="8" spans="1:5" x14ac:dyDescent="0.2">
      <c r="A8">
        <f>Grover!E12</f>
        <v>0.20187000000000016</v>
      </c>
      <c r="B8">
        <f>Oscar!E12</f>
        <v>0.26310000000000056</v>
      </c>
      <c r="C8">
        <f>BertErnie!E12</f>
        <v>0.38604999999999995</v>
      </c>
      <c r="D8">
        <f>'BigBird (Fangyi)'!E12</f>
        <v>0.46407999999999916</v>
      </c>
      <c r="E8">
        <f>CookieMonster!E13</f>
        <v>0.44571000000000027</v>
      </c>
    </row>
    <row r="9" spans="1:5" x14ac:dyDescent="0.2">
      <c r="A9">
        <f>Grover!E13</f>
        <v>0.22187000000000018</v>
      </c>
      <c r="B9">
        <f>Oscar!E14</f>
        <v>0.24310000000000054</v>
      </c>
      <c r="C9">
        <f>BertErnie!E13</f>
        <v>0.5160499999999999</v>
      </c>
      <c r="D9">
        <f>'BigBird (Fangyi)'!E13</f>
        <v>0.46407999999999916</v>
      </c>
      <c r="E9">
        <f>CookieMonster!E14</f>
        <v>0.44571000000000027</v>
      </c>
    </row>
    <row r="10" spans="1:5" x14ac:dyDescent="0.2">
      <c r="A10">
        <f>Grover!E14</f>
        <v>0.21687000000000006</v>
      </c>
      <c r="B10">
        <f>Oscar!E15</f>
        <v>0.29310000000000058</v>
      </c>
      <c r="C10">
        <f>BertErnie!E14</f>
        <v>0.68605000000000005</v>
      </c>
      <c r="D10">
        <f>'BigBird (Fangyi)'!E14</f>
        <v>0.44907999999999926</v>
      </c>
      <c r="E10">
        <f>CookieMonster!E16</f>
        <v>0.44071000000000038</v>
      </c>
    </row>
    <row r="11" spans="1:5" x14ac:dyDescent="0.2">
      <c r="A11">
        <f>Grover!E16</f>
        <v>0.20687000000000005</v>
      </c>
      <c r="B11">
        <f>Oscar!E16</f>
        <v>0.19310000000000049</v>
      </c>
      <c r="C11">
        <f>BertErnie!E16</f>
        <v>0.48605000000000004</v>
      </c>
      <c r="D11">
        <f>'BigBird (Fangyi)'!E16</f>
        <v>0.44407999999999914</v>
      </c>
      <c r="E11">
        <f>CookieMonster!E17</f>
        <v>0.4607100000000004</v>
      </c>
    </row>
    <row r="12" spans="1:5" x14ac:dyDescent="0.2">
      <c r="A12">
        <f>Grover!E18</f>
        <v>0.19187000000000015</v>
      </c>
      <c r="B12">
        <f>Oscar!E17</f>
        <v>0.14310000000000045</v>
      </c>
      <c r="C12">
        <f>BertErnie!E17</f>
        <v>0.47605000000000003</v>
      </c>
      <c r="D12">
        <f>'BigBird (Fangyi)'!E17</f>
        <v>0.44907999999999926</v>
      </c>
      <c r="E12">
        <f>CookieMonster!E18</f>
        <v>0.50571000000000033</v>
      </c>
    </row>
    <row r="13" spans="1:5" x14ac:dyDescent="0.2">
      <c r="A13">
        <f>Grover!E19</f>
        <v>0.19687000000000004</v>
      </c>
      <c r="B13">
        <f>Oscar!E18</f>
        <v>0.10310000000000041</v>
      </c>
      <c r="C13">
        <f>BertErnie!E18</f>
        <v>0.48605000000000004</v>
      </c>
      <c r="D13">
        <f>'BigBird (Fangyi)'!E18</f>
        <v>0.42907999999999924</v>
      </c>
      <c r="E13">
        <f>CookieMonster!E19</f>
        <v>0.46571000000000029</v>
      </c>
    </row>
    <row r="14" spans="1:5" x14ac:dyDescent="0.2">
      <c r="A14">
        <f>Grover!E20</f>
        <v>0.19687000000000004</v>
      </c>
      <c r="B14">
        <f>Oscar!E19</f>
        <v>0.11310000000000042</v>
      </c>
      <c r="C14">
        <f>BertErnie!E19</f>
        <v>0.47605000000000003</v>
      </c>
      <c r="D14">
        <f>'BigBird (Fangyi)'!E20</f>
        <v>0.39907999999999921</v>
      </c>
      <c r="E14">
        <f>CookieMonster!E20</f>
        <v>0.39071000000000033</v>
      </c>
    </row>
    <row r="15" spans="1:5" x14ac:dyDescent="0.2">
      <c r="A15">
        <f>Grover!E21</f>
        <v>0.16187000000000012</v>
      </c>
      <c r="B15">
        <f>Oscar!E20</f>
        <v>0.27310000000000056</v>
      </c>
      <c r="C15">
        <f>BertErnie!E20</f>
        <v>0.46605000000000002</v>
      </c>
      <c r="D15">
        <f>'BigBird (Fangyi)'!E21</f>
        <v>0.3890799999999992</v>
      </c>
      <c r="E15">
        <f>CookieMonster!E21</f>
        <v>0.34071000000000029</v>
      </c>
    </row>
    <row r="16" spans="1:5" x14ac:dyDescent="0.2">
      <c r="A16">
        <f>Grover!E22</f>
        <v>0.26187000000000021</v>
      </c>
      <c r="B16">
        <f>Oscar!E21</f>
        <v>0.25310000000000055</v>
      </c>
      <c r="C16">
        <f>BertErnie!E22</f>
        <v>0.43604999999999999</v>
      </c>
      <c r="D16">
        <f>'BigBird (Fangyi)'!E22</f>
        <v>0.21907999999999905</v>
      </c>
      <c r="E16">
        <f>CookieMonster!E22</f>
        <v>0.15071000000000034</v>
      </c>
    </row>
    <row r="17" spans="1:5" x14ac:dyDescent="0.2">
      <c r="A17">
        <f>Grover!E24</f>
        <v>0.28187000000000023</v>
      </c>
      <c r="B17">
        <f>Oscar!E22</f>
        <v>0.25310000000000055</v>
      </c>
      <c r="C17">
        <f>BertErnie!E23</f>
        <v>0.42604999999999998</v>
      </c>
      <c r="D17">
        <f>'BigBird (Fangyi)'!E23</f>
        <v>0.17907999999999924</v>
      </c>
      <c r="E17">
        <f>CookieMonster!E23</f>
        <v>-9.9289999999999656E-2</v>
      </c>
    </row>
    <row r="18" spans="1:5" x14ac:dyDescent="0.2">
      <c r="A18">
        <f>Grover!E25</f>
        <v>0.32187000000000027</v>
      </c>
      <c r="B18">
        <f>Oscar!E23</f>
        <v>0.24310000000000054</v>
      </c>
      <c r="C18">
        <f>BertErnie!E25</f>
        <v>0.42105000000000009</v>
      </c>
      <c r="D18">
        <f>'BigBird (Fangyi)'!E25</f>
        <v>0.16907999999999923</v>
      </c>
      <c r="E18">
        <f>CookieMonster!E24</f>
        <v>-0.19928999999999975</v>
      </c>
    </row>
    <row r="19" spans="1:5" x14ac:dyDescent="0.2">
      <c r="A19">
        <f>Grover!E26</f>
        <v>0.30187000000000025</v>
      </c>
      <c r="B19">
        <f>Oscar!E24</f>
        <v>0.21310000000000051</v>
      </c>
      <c r="C19">
        <f>BertErnie!E26</f>
        <v>0.36604999999999993</v>
      </c>
      <c r="D19">
        <f>'BigBird (Fangyi)'!E26</f>
        <v>0.12907999999999942</v>
      </c>
    </row>
    <row r="20" spans="1:5" x14ac:dyDescent="0.2">
      <c r="A20">
        <f>Grover!E27</f>
        <v>0.2518700000000002</v>
      </c>
      <c r="B20">
        <f>Oscar!E25</f>
        <v>0.23310000000000053</v>
      </c>
      <c r="C20">
        <f>BertErnie!E27</f>
        <v>0.3360499999999999</v>
      </c>
      <c r="D20">
        <f>'BigBird (Fangyi)'!E27</f>
        <v>0.17907999999999924</v>
      </c>
    </row>
    <row r="21" spans="1:5" x14ac:dyDescent="0.2">
      <c r="A21">
        <f>Grover!E29</f>
        <v>-0.35313</v>
      </c>
      <c r="B21">
        <f>Oscar!E26</f>
        <v>3.3100000000000573E-2</v>
      </c>
      <c r="C21">
        <f>BertErnie!E28</f>
        <v>0.3060500000000001</v>
      </c>
      <c r="D21">
        <f>'BigBird (Fangyi)'!E28</f>
        <v>0.16907999999999923</v>
      </c>
    </row>
    <row r="22" spans="1:5" x14ac:dyDescent="0.2">
      <c r="A22">
        <f>Grover!E30</f>
        <v>-0.70812999999999993</v>
      </c>
      <c r="B22">
        <f>Oscar!E27</f>
        <v>4.3100000000000582E-2</v>
      </c>
      <c r="C22">
        <f>BertErnie!E29</f>
        <v>0.25605000000000006</v>
      </c>
      <c r="D22">
        <f>'BigBird (Fangyi)'!E29</f>
        <v>0.22907999999999928</v>
      </c>
    </row>
    <row r="23" spans="1:5" x14ac:dyDescent="0.2">
      <c r="A23">
        <f>Grover!E31</f>
        <v>-0.16312999999999983</v>
      </c>
      <c r="B23">
        <f>Oscar!E28</f>
        <v>1.3100000000000556E-2</v>
      </c>
      <c r="C23">
        <f>BertErnie!E30</f>
        <v>0.21605000000000002</v>
      </c>
      <c r="D23">
        <f>'BigBird (Fangyi)'!E31</f>
        <v>0.35907999999999918</v>
      </c>
    </row>
    <row r="24" spans="1:5" x14ac:dyDescent="0.2">
      <c r="A24">
        <f>Grover!E32</f>
        <v>1.6870000000000107E-2</v>
      </c>
      <c r="B24">
        <f>Oscar!E30</f>
        <v>0.34810000000000052</v>
      </c>
      <c r="C24">
        <f>BertErnie!E31</f>
        <v>0.17604999999999998</v>
      </c>
      <c r="D24">
        <f>'BigBird (Fangyi)'!E32</f>
        <v>0.3890799999999992</v>
      </c>
    </row>
    <row r="25" spans="1:5" x14ac:dyDescent="0.2">
      <c r="A25">
        <f>Grover!E33</f>
        <v>3.6870000000000125E-2</v>
      </c>
      <c r="B25">
        <f>Oscar!E31</f>
        <v>0.4531000000000005</v>
      </c>
      <c r="C25">
        <f>BertErnie!E32</f>
        <v>0.20605000000000001</v>
      </c>
      <c r="D25">
        <f>'BigBird (Fangyi)'!E33</f>
        <v>0.3890799999999992</v>
      </c>
    </row>
    <row r="26" spans="1:5" x14ac:dyDescent="0.2">
      <c r="A26">
        <f>Grover!E34</f>
        <v>0.15687000000000001</v>
      </c>
      <c r="B26">
        <f>Oscar!E33</f>
        <v>0.42310000000000048</v>
      </c>
      <c r="C26">
        <f>BertErnie!E34</f>
        <v>0.23605000000000004</v>
      </c>
      <c r="D26">
        <f>'BigBird (Fangyi)'!E35</f>
        <v>0.39907999999999921</v>
      </c>
    </row>
    <row r="27" spans="1:5" x14ac:dyDescent="0.2">
      <c r="A27">
        <f>Grover!E35</f>
        <v>0.20687000000000005</v>
      </c>
      <c r="B27">
        <f>Oscar!E35</f>
        <v>0.40810000000000057</v>
      </c>
      <c r="C27">
        <f>BertErnie!E35</f>
        <v>0.40604999999999997</v>
      </c>
      <c r="D27">
        <f>'BigBird (Fangyi)'!E36</f>
        <v>0.41907999999999901</v>
      </c>
    </row>
    <row r="28" spans="1:5" x14ac:dyDescent="0.2">
      <c r="A28">
        <f>Grover!E36</f>
        <v>0.2418700000000002</v>
      </c>
      <c r="B28">
        <f>Oscar!E37</f>
        <v>0.39810000000000056</v>
      </c>
      <c r="D28">
        <f>'BigBird (Fangyi)'!E38</f>
        <v>0.44907999999999904</v>
      </c>
    </row>
    <row r="29" spans="1:5" x14ac:dyDescent="0.2">
      <c r="A29">
        <f>Grover!E37</f>
        <v>0.2568700000000001</v>
      </c>
      <c r="B29">
        <f>Oscar!E38</f>
        <v>0.38810000000000056</v>
      </c>
      <c r="D29">
        <f>'BigBird (Fangyi)'!E39</f>
        <v>0.46907999999999905</v>
      </c>
    </row>
    <row r="30" spans="1:5" x14ac:dyDescent="0.2">
      <c r="A30">
        <f>Grover!E39</f>
        <v>0.28687000000000012</v>
      </c>
      <c r="B30">
        <f>Oscar!E40</f>
        <v>0.40310000000000046</v>
      </c>
      <c r="D30">
        <f>'BigBird (Fangyi)'!E41</f>
        <v>0.49907999999999908</v>
      </c>
    </row>
    <row r="31" spans="1:5" x14ac:dyDescent="0.2">
      <c r="A31">
        <f>Grover!E40</f>
        <v>0.2518700000000002</v>
      </c>
      <c r="B31">
        <f>Oscar!E41</f>
        <v>0.41310000000000047</v>
      </c>
      <c r="D31">
        <f>'BigBird (Fangyi)'!E42</f>
        <v>0.409079999999999</v>
      </c>
    </row>
    <row r="32" spans="1:5" x14ac:dyDescent="0.2">
      <c r="A32">
        <f>Grover!E41</f>
        <v>-0.13812999999999992</v>
      </c>
      <c r="B32">
        <f>Oscar!E43</f>
        <v>0.40310000000000068</v>
      </c>
      <c r="D32">
        <f>'BigBird (Fangyi)'!E43</f>
        <v>0.39907999999999899</v>
      </c>
    </row>
    <row r="33" spans="1:4" x14ac:dyDescent="0.2">
      <c r="A33">
        <f>Grover!E42</f>
        <v>-0.22812999999999978</v>
      </c>
      <c r="B33">
        <f>Oscar!E45</f>
        <v>0.4231000000000007</v>
      </c>
      <c r="D33">
        <f>'BigBird (Fangyi)'!E45</f>
        <v>0.3890799999999992</v>
      </c>
    </row>
    <row r="34" spans="1:4" x14ac:dyDescent="0.2">
      <c r="A34">
        <f>Grover!E43</f>
        <v>-0.6781299999999999</v>
      </c>
      <c r="B34">
        <f>Oscar!E46</f>
        <v>0.41310000000000069</v>
      </c>
      <c r="D34">
        <f>'BigBird (Fangyi)'!E46</f>
        <v>0.34907999999999917</v>
      </c>
    </row>
    <row r="35" spans="1:4" x14ac:dyDescent="0.2">
      <c r="B35">
        <f>Oscar!E48</f>
        <v>0.36810000000000076</v>
      </c>
      <c r="D35">
        <f>'BigBird (Fangyi)'!E47</f>
        <v>0.29907999999999912</v>
      </c>
    </row>
    <row r="36" spans="1:4" x14ac:dyDescent="0.2">
      <c r="B36">
        <f>Oscar!E49</f>
        <v>0.34310000000000085</v>
      </c>
      <c r="D36">
        <f>'BigBird (Fangyi)'!E48</f>
        <v>0.21907999999999905</v>
      </c>
    </row>
    <row r="37" spans="1:4" x14ac:dyDescent="0.2">
      <c r="B37">
        <f>Oscar!E50</f>
        <v>0.2981000000000007</v>
      </c>
      <c r="D37">
        <f>'BigBird (Fangyi)'!E49</f>
        <v>0.17907999999999902</v>
      </c>
    </row>
    <row r="38" spans="1:4" x14ac:dyDescent="0.2">
      <c r="B38">
        <f>Oscar!E51</f>
        <v>3.1000000000007688E-3</v>
      </c>
      <c r="D38">
        <f>'BigBird (Fangyi)'!E50</f>
        <v>-8.0920000000000991E-2</v>
      </c>
    </row>
    <row r="39" spans="1:4" x14ac:dyDescent="0.2">
      <c r="B39">
        <f>Oscar!E52</f>
        <v>0.4181000000000008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CDEE-9D4C-914D-81E1-F8B07A325103}">
  <dimension ref="A1:E23"/>
  <sheetViews>
    <sheetView workbookViewId="0">
      <selection activeCell="F48" sqref="F48"/>
    </sheetView>
  </sheetViews>
  <sheetFormatPr baseColWidth="10" defaultRowHeight="16" x14ac:dyDescent="0.2"/>
  <cols>
    <col min="1" max="1" width="20.5" bestFit="1" customWidth="1"/>
    <col min="5" max="5" width="13.33203125" bestFit="1" customWidth="1"/>
  </cols>
  <sheetData>
    <row r="1" spans="1:5" x14ac:dyDescent="0.2">
      <c r="A1" t="s">
        <v>480</v>
      </c>
    </row>
    <row r="2" spans="1:5" x14ac:dyDescent="0.2">
      <c r="A2" t="s">
        <v>469</v>
      </c>
      <c r="B2" t="s">
        <v>470</v>
      </c>
      <c r="C2" t="s">
        <v>471</v>
      </c>
      <c r="D2" t="s">
        <v>472</v>
      </c>
      <c r="E2" t="s">
        <v>473</v>
      </c>
    </row>
    <row r="3" spans="1:5" x14ac:dyDescent="0.2">
      <c r="A3">
        <f>Grover!H12</f>
        <v>-0.14812999999999993</v>
      </c>
      <c r="B3">
        <f>Oscar!L11</f>
        <v>0.13310000000000066</v>
      </c>
      <c r="C3">
        <f>BertErnie!G14</f>
        <v>0.38604999999999995</v>
      </c>
      <c r="D3">
        <f>'BigBird (Fangyi)'!L11</f>
        <v>0.28407999999999922</v>
      </c>
      <c r="E3">
        <f>CookieMonster!N14</f>
        <v>0.44071000000000016</v>
      </c>
    </row>
    <row r="4" spans="1:5" x14ac:dyDescent="0.2">
      <c r="A4">
        <f>Grover!H13</f>
        <v>-2.8129999999999822E-2</v>
      </c>
      <c r="B4">
        <f>Oscar!L12</f>
        <v>0.28810000000000069</v>
      </c>
      <c r="C4">
        <f>BertErnie!G15</f>
        <v>0.5160499999999999</v>
      </c>
      <c r="D4">
        <f>'BigBird (Fangyi)'!L12</f>
        <v>0.35407999999999906</v>
      </c>
      <c r="E4">
        <f>CookieMonster!N15</f>
        <v>0.44571000000000027</v>
      </c>
    </row>
    <row r="5" spans="1:5" x14ac:dyDescent="0.2">
      <c r="A5">
        <f>Grover!H14</f>
        <v>0.16187000000000012</v>
      </c>
      <c r="B5">
        <f>Oscar!L13</f>
        <v>0.3131000000000006</v>
      </c>
      <c r="C5">
        <f>BertErnie!G16</f>
        <v>0.48605000000000004</v>
      </c>
      <c r="D5">
        <f>'BigBird (Fangyi)'!L13</f>
        <v>0.37407999999999908</v>
      </c>
      <c r="E5">
        <f>CookieMonster!N16</f>
        <v>0.44571000000000027</v>
      </c>
    </row>
    <row r="6" spans="1:5" x14ac:dyDescent="0.2">
      <c r="A6">
        <f>Grover!H15</f>
        <v>0.17687000000000025</v>
      </c>
      <c r="B6">
        <f>Oscar!L14</f>
        <v>0.30310000000000059</v>
      </c>
      <c r="C6">
        <f>BertErnie!G17</f>
        <v>0.47605000000000003</v>
      </c>
      <c r="D6">
        <f>'BigBird (Fangyi)'!L14</f>
        <v>0.42407999999999912</v>
      </c>
      <c r="E6">
        <f>CookieMonster!N17</f>
        <v>0.44071000000000038</v>
      </c>
    </row>
    <row r="7" spans="1:5" x14ac:dyDescent="0.2">
      <c r="A7">
        <f>Grover!H16</f>
        <v>0.20187000000000016</v>
      </c>
      <c r="B7">
        <f>Oscar!L15</f>
        <v>0.30310000000000059</v>
      </c>
      <c r="C7">
        <f>BertErnie!G18</f>
        <v>0.48605000000000004</v>
      </c>
      <c r="D7">
        <f>'BigBird (Fangyi)'!L15</f>
        <v>0.46407999999999916</v>
      </c>
      <c r="E7">
        <f>CookieMonster!N18</f>
        <v>0.4607100000000004</v>
      </c>
    </row>
    <row r="8" spans="1:5" x14ac:dyDescent="0.2">
      <c r="A8">
        <f>Grover!H17</f>
        <v>0.22187000000000018</v>
      </c>
      <c r="B8">
        <f>Oscar!L16</f>
        <v>0.29310000000000058</v>
      </c>
      <c r="C8">
        <f>BertErnie!G19</f>
        <v>0.47605000000000003</v>
      </c>
      <c r="D8">
        <f>'BigBird (Fangyi)'!L16</f>
        <v>0.46407999999999916</v>
      </c>
      <c r="E8">
        <f>CookieMonster!N19</f>
        <v>0.50571000000000033</v>
      </c>
    </row>
    <row r="9" spans="1:5" x14ac:dyDescent="0.2">
      <c r="A9">
        <f>Grover!H18</f>
        <v>0.21687000000000006</v>
      </c>
      <c r="B9">
        <f>Oscar!L17</f>
        <v>0.4531000000000005</v>
      </c>
      <c r="C9">
        <f>BertErnie!G20</f>
        <v>0.46605000000000002</v>
      </c>
      <c r="D9">
        <f>'BigBird (Fangyi)'!L17</f>
        <v>0.44407999999999914</v>
      </c>
      <c r="E9">
        <f>CookieMonster!N20</f>
        <v>0.46571000000000029</v>
      </c>
    </row>
    <row r="10" spans="1:5" x14ac:dyDescent="0.2">
      <c r="A10">
        <f>Grover!H19</f>
        <v>0.20687000000000005</v>
      </c>
      <c r="B10">
        <f>Oscar!L18</f>
        <v>0.42310000000000048</v>
      </c>
      <c r="C10">
        <f>BertErnie!G21</f>
        <v>0.43604999999999999</v>
      </c>
      <c r="D10">
        <f>'BigBird (Fangyi)'!L18</f>
        <v>0.44907999999999926</v>
      </c>
      <c r="E10">
        <f>CookieMonster!N21</f>
        <v>0.39071000000000033</v>
      </c>
    </row>
    <row r="11" spans="1:5" x14ac:dyDescent="0.2">
      <c r="A11">
        <f>Grover!H20</f>
        <v>0.19187000000000015</v>
      </c>
      <c r="B11">
        <f>Oscar!L19</f>
        <v>0.40810000000000057</v>
      </c>
      <c r="C11">
        <f>BertErnie!G22</f>
        <v>0.42604999999999998</v>
      </c>
      <c r="D11">
        <f>'BigBird (Fangyi)'!L19</f>
        <v>0.42907999999999924</v>
      </c>
    </row>
    <row r="12" spans="1:5" x14ac:dyDescent="0.2">
      <c r="A12">
        <f>Grover!H21</f>
        <v>0.19687000000000004</v>
      </c>
      <c r="B12">
        <f>Oscar!L20</f>
        <v>0.38810000000000056</v>
      </c>
      <c r="C12">
        <f>BertErnie!G23</f>
        <v>0.42105000000000009</v>
      </c>
      <c r="D12">
        <f>'BigBird (Fangyi)'!L20</f>
        <v>0.39907999999999921</v>
      </c>
    </row>
    <row r="13" spans="1:5" x14ac:dyDescent="0.2">
      <c r="A13">
        <f>Grover!H22</f>
        <v>0.19687000000000004</v>
      </c>
      <c r="B13">
        <f>Oscar!L21</f>
        <v>0.40310000000000046</v>
      </c>
      <c r="C13">
        <f>BertErnie!G24</f>
        <v>0.36604999999999993</v>
      </c>
      <c r="D13">
        <f>'BigBird (Fangyi)'!L21</f>
        <v>0.3890799999999992</v>
      </c>
    </row>
    <row r="14" spans="1:5" x14ac:dyDescent="0.2">
      <c r="A14">
        <f>Grover!H23</f>
        <v>0.16187000000000012</v>
      </c>
      <c r="B14">
        <f>Oscar!L22</f>
        <v>0.41310000000000047</v>
      </c>
      <c r="C14">
        <f>BertErnie!G25</f>
        <v>0.3360499999999999</v>
      </c>
      <c r="D14">
        <f>'BigBird (Fangyi)'!L22</f>
        <v>0.35907999999999918</v>
      </c>
    </row>
    <row r="15" spans="1:5" x14ac:dyDescent="0.2">
      <c r="A15">
        <f>Grover!H24</f>
        <v>0.26187000000000021</v>
      </c>
      <c r="B15">
        <f>Oscar!L23</f>
        <v>0.4231000000000007</v>
      </c>
      <c r="C15">
        <f>BertErnie!G26</f>
        <v>0.3060500000000001</v>
      </c>
      <c r="D15">
        <f>'BigBird (Fangyi)'!L23</f>
        <v>0.44907999999999904</v>
      </c>
    </row>
    <row r="16" spans="1:5" x14ac:dyDescent="0.2">
      <c r="A16">
        <f>Grover!H25</f>
        <v>0.28187000000000023</v>
      </c>
      <c r="B16">
        <f>Oscar!L24</f>
        <v>0.41310000000000069</v>
      </c>
      <c r="C16">
        <f>BertErnie!G27</f>
        <v>0.25605000000000006</v>
      </c>
      <c r="D16">
        <f>'BigBird (Fangyi)'!L24</f>
        <v>0.46907999999999905</v>
      </c>
    </row>
    <row r="17" spans="1:4" x14ac:dyDescent="0.2">
      <c r="A17">
        <f>Grover!H26</f>
        <v>0.32187000000000027</v>
      </c>
      <c r="B17">
        <f>Oscar!L25</f>
        <v>0.36810000000000076</v>
      </c>
      <c r="C17">
        <f>BertErnie!G28</f>
        <v>0.21605000000000002</v>
      </c>
      <c r="D17">
        <f>'BigBird (Fangyi)'!L25</f>
        <v>0.49907999999999908</v>
      </c>
    </row>
    <row r="18" spans="1:4" x14ac:dyDescent="0.2">
      <c r="A18">
        <f>Grover!H27</f>
        <v>0.30187000000000025</v>
      </c>
      <c r="B18">
        <f>Oscar!L26</f>
        <v>0.34310000000000085</v>
      </c>
      <c r="D18">
        <f>'BigBird (Fangyi)'!L26</f>
        <v>0.409079999999999</v>
      </c>
    </row>
    <row r="19" spans="1:4" x14ac:dyDescent="0.2">
      <c r="A19">
        <f>Grover!H28</f>
        <v>0.2518700000000002</v>
      </c>
      <c r="B19">
        <f>Oscar!L27</f>
        <v>0.2981000000000007</v>
      </c>
      <c r="D19">
        <f>'BigBird (Fangyi)'!L27</f>
        <v>0.39907999999999899</v>
      </c>
    </row>
    <row r="20" spans="1:4" x14ac:dyDescent="0.2">
      <c r="A20">
        <f>Grover!H29</f>
        <v>0.20687000000000005</v>
      </c>
      <c r="D20">
        <f>'BigBird (Fangyi)'!L28</f>
        <v>0.3890799999999992</v>
      </c>
    </row>
    <row r="21" spans="1:4" x14ac:dyDescent="0.2">
      <c r="A21">
        <f>Grover!H30</f>
        <v>0.2418700000000002</v>
      </c>
      <c r="D21">
        <f>'BigBird (Fangyi)'!L29</f>
        <v>0.34907999999999917</v>
      </c>
    </row>
    <row r="22" spans="1:4" x14ac:dyDescent="0.2">
      <c r="A22">
        <f>Grover!H31</f>
        <v>0.2568700000000001</v>
      </c>
      <c r="D22">
        <f>'BigBird (Fangyi)'!L30</f>
        <v>0.29907999999999912</v>
      </c>
    </row>
    <row r="23" spans="1:4" x14ac:dyDescent="0.2">
      <c r="A23">
        <f>Grover!H32</f>
        <v>0.2518700000000002</v>
      </c>
      <c r="D23">
        <f>'BigBird (Fangyi)'!L31</f>
        <v>0.21907999999999905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48B1A-A078-0E40-B58A-B117DE98C327}">
  <dimension ref="A1:N48"/>
  <sheetViews>
    <sheetView zoomScaleNormal="100" workbookViewId="0">
      <selection activeCell="C41" sqref="C41"/>
    </sheetView>
  </sheetViews>
  <sheetFormatPr baseColWidth="10" defaultColWidth="11" defaultRowHeight="16" x14ac:dyDescent="0.2"/>
  <cols>
    <col min="1" max="1" width="29.6640625" bestFit="1" customWidth="1"/>
    <col min="3" max="3" width="12.6640625" bestFit="1" customWidth="1"/>
    <col min="4" max="4" width="29" bestFit="1" customWidth="1"/>
    <col min="5" max="5" width="29" customWidth="1"/>
    <col min="6" max="6" width="54" bestFit="1" customWidth="1"/>
    <col min="10" max="10" width="11.83203125" bestFit="1" customWidth="1"/>
    <col min="11" max="11" width="14.83203125" bestFit="1" customWidth="1"/>
    <col min="12" max="12" width="12.83203125" bestFit="1" customWidth="1"/>
  </cols>
  <sheetData>
    <row r="1" spans="1:14" x14ac:dyDescent="0.2">
      <c r="A1" t="s">
        <v>0</v>
      </c>
      <c r="B1" t="s">
        <v>1</v>
      </c>
      <c r="I1" s="5"/>
      <c r="J1" s="32" t="s">
        <v>466</v>
      </c>
      <c r="K1" s="32" t="s">
        <v>465</v>
      </c>
      <c r="L1" s="32" t="s">
        <v>464</v>
      </c>
      <c r="M1" s="32" t="s">
        <v>467</v>
      </c>
      <c r="N1" s="33"/>
    </row>
    <row r="2" spans="1:14" x14ac:dyDescent="0.2">
      <c r="A2" t="s">
        <v>2</v>
      </c>
      <c r="B2" t="s">
        <v>3</v>
      </c>
      <c r="J2" s="33"/>
      <c r="K2" s="34">
        <v>-4.4619999999999997</v>
      </c>
      <c r="L2" s="34">
        <v>-4.6188700000000003</v>
      </c>
      <c r="M2" s="34">
        <v>0.15687000000000001</v>
      </c>
      <c r="N2" s="33"/>
    </row>
    <row r="3" spans="1:14" x14ac:dyDescent="0.2">
      <c r="A3" t="s">
        <v>4</v>
      </c>
      <c r="B3" t="s">
        <v>5</v>
      </c>
    </row>
    <row r="5" spans="1:14" x14ac:dyDescent="0.2">
      <c r="A5" t="s">
        <v>6</v>
      </c>
      <c r="B5" t="s">
        <v>7</v>
      </c>
      <c r="C5" t="s">
        <v>8</v>
      </c>
      <c r="D5" t="s">
        <v>499</v>
      </c>
      <c r="E5" t="s">
        <v>480</v>
      </c>
      <c r="F5" t="s">
        <v>9</v>
      </c>
      <c r="H5" s="40" t="s">
        <v>474</v>
      </c>
      <c r="I5" s="41"/>
    </row>
    <row r="6" spans="1:14" x14ac:dyDescent="0.2">
      <c r="A6" t="s">
        <v>10</v>
      </c>
      <c r="B6">
        <v>2.2599999999999998</v>
      </c>
      <c r="F6" t="s">
        <v>11</v>
      </c>
      <c r="H6" s="41" t="s">
        <v>483</v>
      </c>
      <c r="I6" s="41"/>
    </row>
    <row r="7" spans="1:14" x14ac:dyDescent="0.2">
      <c r="A7" t="s">
        <v>12</v>
      </c>
      <c r="B7">
        <v>2.1</v>
      </c>
      <c r="C7">
        <f t="shared" ref="C7:C14" si="0">B$6-B7</f>
        <v>0.1599999999999997</v>
      </c>
      <c r="D7">
        <f>C7-C$34</f>
        <v>-0.54499999999999993</v>
      </c>
      <c r="E7">
        <f t="shared" ref="E7:E14" si="1">D7+M$2</f>
        <v>-0.38812999999999992</v>
      </c>
      <c r="F7" t="s">
        <v>13</v>
      </c>
      <c r="H7" s="41"/>
      <c r="I7" s="41"/>
    </row>
    <row r="8" spans="1:14" x14ac:dyDescent="0.2">
      <c r="A8" t="s">
        <v>14</v>
      </c>
      <c r="B8">
        <v>1.86</v>
      </c>
      <c r="C8">
        <f t="shared" si="0"/>
        <v>0.39999999999999969</v>
      </c>
      <c r="D8">
        <f t="shared" ref="D8:D43" si="2">C8-C$34</f>
        <v>-0.30499999999999994</v>
      </c>
      <c r="E8">
        <f t="shared" si="1"/>
        <v>-0.14812999999999993</v>
      </c>
      <c r="F8" s="41" t="s">
        <v>15</v>
      </c>
      <c r="H8" s="41">
        <f>MIN(E8:E14,E35:E36,E40,E16,E18:E22,E24:E27,E37)</f>
        <v>-0.14812999999999993</v>
      </c>
      <c r="I8" s="41" t="s">
        <v>475</v>
      </c>
    </row>
    <row r="9" spans="1:14" x14ac:dyDescent="0.2">
      <c r="A9" t="s">
        <v>16</v>
      </c>
      <c r="B9">
        <v>1.74</v>
      </c>
      <c r="C9">
        <f t="shared" si="0"/>
        <v>0.5199999999999998</v>
      </c>
      <c r="D9">
        <f t="shared" si="2"/>
        <v>-0.18499999999999983</v>
      </c>
      <c r="E9">
        <f t="shared" si="1"/>
        <v>-2.8129999999999822E-2</v>
      </c>
      <c r="F9" s="41" t="s">
        <v>17</v>
      </c>
      <c r="H9" s="41">
        <f>MAX(E8:E14,E35:E36,E40,E16,E18:E22,E24:E27,E37)</f>
        <v>0.32187000000000027</v>
      </c>
      <c r="I9" s="41" t="s">
        <v>476</v>
      </c>
    </row>
    <row r="10" spans="1:14" x14ac:dyDescent="0.2">
      <c r="A10" t="s">
        <v>18</v>
      </c>
      <c r="B10">
        <v>1.55</v>
      </c>
      <c r="C10">
        <f t="shared" si="0"/>
        <v>0.70999999999999974</v>
      </c>
      <c r="D10">
        <f t="shared" si="2"/>
        <v>5.0000000000001155E-3</v>
      </c>
      <c r="E10">
        <f t="shared" si="1"/>
        <v>0.16187000000000012</v>
      </c>
      <c r="F10" s="41" t="s">
        <v>19</v>
      </c>
      <c r="H10" s="41"/>
      <c r="I10" s="41"/>
    </row>
    <row r="11" spans="1:14" x14ac:dyDescent="0.2">
      <c r="A11" t="s">
        <v>20</v>
      </c>
      <c r="B11">
        <v>1.5349999999999999</v>
      </c>
      <c r="C11">
        <f t="shared" si="0"/>
        <v>0.72499999999999987</v>
      </c>
      <c r="D11">
        <f t="shared" si="2"/>
        <v>2.000000000000024E-2</v>
      </c>
      <c r="E11">
        <f t="shared" si="1"/>
        <v>0.17687000000000025</v>
      </c>
      <c r="F11" s="41" t="s">
        <v>19</v>
      </c>
      <c r="H11" s="41"/>
      <c r="I11" s="41"/>
    </row>
    <row r="12" spans="1:14" x14ac:dyDescent="0.2">
      <c r="A12" t="s">
        <v>21</v>
      </c>
      <c r="B12">
        <v>1.51</v>
      </c>
      <c r="C12">
        <f t="shared" si="0"/>
        <v>0.74999999999999978</v>
      </c>
      <c r="D12">
        <f t="shared" si="2"/>
        <v>4.5000000000000151E-2</v>
      </c>
      <c r="E12">
        <f t="shared" si="1"/>
        <v>0.20187000000000016</v>
      </c>
      <c r="F12" s="41" t="s">
        <v>19</v>
      </c>
      <c r="H12" s="41" cm="1">
        <f t="array" ref="H12:H18">E8:E14</f>
        <v>-0.14812999999999993</v>
      </c>
      <c r="I12" s="41"/>
    </row>
    <row r="13" spans="1:14" x14ac:dyDescent="0.2">
      <c r="A13" t="s">
        <v>22</v>
      </c>
      <c r="B13">
        <v>1.49</v>
      </c>
      <c r="C13">
        <f t="shared" si="0"/>
        <v>0.7699999999999998</v>
      </c>
      <c r="D13">
        <f t="shared" si="2"/>
        <v>6.5000000000000169E-2</v>
      </c>
      <c r="E13">
        <f t="shared" si="1"/>
        <v>0.22187000000000018</v>
      </c>
      <c r="F13" s="41" t="s">
        <v>19</v>
      </c>
      <c r="H13" s="41">
        <v>-2.8129999999999822E-2</v>
      </c>
      <c r="I13" s="41"/>
    </row>
    <row r="14" spans="1:14" x14ac:dyDescent="0.2">
      <c r="A14" t="s">
        <v>23</v>
      </c>
      <c r="B14">
        <v>1.4950000000000001</v>
      </c>
      <c r="C14">
        <f t="shared" si="0"/>
        <v>0.76499999999999968</v>
      </c>
      <c r="D14">
        <f t="shared" si="2"/>
        <v>6.0000000000000053E-2</v>
      </c>
      <c r="E14">
        <f t="shared" si="1"/>
        <v>0.21687000000000006</v>
      </c>
      <c r="F14" s="41" t="s">
        <v>24</v>
      </c>
      <c r="H14" s="41">
        <v>0.16187000000000012</v>
      </c>
      <c r="I14" s="41"/>
    </row>
    <row r="15" spans="1:14" x14ac:dyDescent="0.2">
      <c r="A15" t="s">
        <v>25</v>
      </c>
      <c r="B15">
        <v>1.1599999999999999</v>
      </c>
      <c r="H15" s="41">
        <v>0.17687000000000025</v>
      </c>
      <c r="I15" s="41"/>
    </row>
    <row r="16" spans="1:14" x14ac:dyDescent="0.2">
      <c r="A16" t="s">
        <v>26</v>
      </c>
      <c r="B16">
        <v>1.17</v>
      </c>
      <c r="C16">
        <f>B15-B16+C14</f>
        <v>0.75499999999999967</v>
      </c>
      <c r="D16">
        <f t="shared" si="2"/>
        <v>5.0000000000000044E-2</v>
      </c>
      <c r="E16">
        <f>D16+M$2</f>
        <v>0.20687000000000005</v>
      </c>
      <c r="F16" s="41" t="s">
        <v>27</v>
      </c>
      <c r="H16" s="41">
        <v>0.20187000000000016</v>
      </c>
      <c r="I16" s="41"/>
    </row>
    <row r="17" spans="1:9" x14ac:dyDescent="0.2">
      <c r="A17" t="s">
        <v>28</v>
      </c>
      <c r="B17">
        <v>1.7150000000000001</v>
      </c>
      <c r="F17" s="30"/>
      <c r="H17" s="41">
        <v>0.22187000000000018</v>
      </c>
      <c r="I17" s="41"/>
    </row>
    <row r="18" spans="1:9" x14ac:dyDescent="0.2">
      <c r="A18" t="s">
        <v>29</v>
      </c>
      <c r="B18">
        <v>1.73</v>
      </c>
      <c r="C18">
        <f>B$17-B18+C$16</f>
        <v>0.73999999999999977</v>
      </c>
      <c r="D18">
        <f t="shared" si="2"/>
        <v>3.5000000000000142E-2</v>
      </c>
      <c r="E18">
        <f>D18+M$2</f>
        <v>0.19187000000000015</v>
      </c>
      <c r="F18" s="41" t="s">
        <v>19</v>
      </c>
      <c r="H18" s="41">
        <v>0.21687000000000006</v>
      </c>
      <c r="I18" s="41"/>
    </row>
    <row r="19" spans="1:9" x14ac:dyDescent="0.2">
      <c r="A19" t="s">
        <v>30</v>
      </c>
      <c r="B19">
        <v>1.7250000000000001</v>
      </c>
      <c r="C19">
        <f>B$17-B19+C$16</f>
        <v>0.74499999999999966</v>
      </c>
      <c r="D19">
        <f t="shared" si="2"/>
        <v>4.0000000000000036E-2</v>
      </c>
      <c r="E19">
        <f>D19+M$2</f>
        <v>0.19687000000000004</v>
      </c>
      <c r="F19" s="41" t="s">
        <v>19</v>
      </c>
      <c r="H19" s="41">
        <f>E16</f>
        <v>0.20687000000000005</v>
      </c>
      <c r="I19" s="41"/>
    </row>
    <row r="20" spans="1:9" x14ac:dyDescent="0.2">
      <c r="A20" t="s">
        <v>31</v>
      </c>
      <c r="B20">
        <v>1.7250000000000001</v>
      </c>
      <c r="C20">
        <f>B$17-B20+C$16</f>
        <v>0.74499999999999966</v>
      </c>
      <c r="D20">
        <f t="shared" si="2"/>
        <v>4.0000000000000036E-2</v>
      </c>
      <c r="E20">
        <f>D20+M$2</f>
        <v>0.19687000000000004</v>
      </c>
      <c r="F20" s="41" t="s">
        <v>19</v>
      </c>
      <c r="H20" s="41" cm="1">
        <f t="array" ref="H20:H24">E18:E22</f>
        <v>0.19187000000000015</v>
      </c>
      <c r="I20" s="41"/>
    </row>
    <row r="21" spans="1:9" x14ac:dyDescent="0.2">
      <c r="A21" t="s">
        <v>32</v>
      </c>
      <c r="B21">
        <v>1.76</v>
      </c>
      <c r="C21">
        <f>B$17-B21+C$16</f>
        <v>0.70999999999999974</v>
      </c>
      <c r="D21">
        <f t="shared" si="2"/>
        <v>5.0000000000001155E-3</v>
      </c>
      <c r="E21">
        <f>D21+M$2</f>
        <v>0.16187000000000012</v>
      </c>
      <c r="F21" s="41" t="s">
        <v>19</v>
      </c>
      <c r="H21" s="41">
        <v>0.19687000000000004</v>
      </c>
      <c r="I21" s="41"/>
    </row>
    <row r="22" spans="1:9" x14ac:dyDescent="0.2">
      <c r="A22" t="s">
        <v>33</v>
      </c>
      <c r="B22">
        <v>1.66</v>
      </c>
      <c r="C22">
        <f>B$17-B22+C$16</f>
        <v>0.80999999999999983</v>
      </c>
      <c r="D22">
        <f t="shared" si="2"/>
        <v>0.1050000000000002</v>
      </c>
      <c r="E22">
        <f>D22+M$2</f>
        <v>0.26187000000000021</v>
      </c>
      <c r="F22" s="41" t="s">
        <v>19</v>
      </c>
      <c r="H22" s="41">
        <v>0.19687000000000004</v>
      </c>
      <c r="I22" s="41"/>
    </row>
    <row r="23" spans="1:9" x14ac:dyDescent="0.2">
      <c r="A23" t="s">
        <v>34</v>
      </c>
      <c r="B23">
        <v>1.7</v>
      </c>
      <c r="F23" s="30"/>
      <c r="H23" s="41">
        <v>0.16187000000000012</v>
      </c>
      <c r="I23" s="41"/>
    </row>
    <row r="24" spans="1:9" x14ac:dyDescent="0.2">
      <c r="A24" t="s">
        <v>35</v>
      </c>
      <c r="B24">
        <v>1.68</v>
      </c>
      <c r="C24">
        <f>B$23-B24+C$22</f>
        <v>0.82999999999999985</v>
      </c>
      <c r="D24">
        <f t="shared" si="2"/>
        <v>0.12500000000000022</v>
      </c>
      <c r="E24">
        <f>D24+M$2</f>
        <v>0.28187000000000023</v>
      </c>
      <c r="F24" s="41" t="s">
        <v>36</v>
      </c>
      <c r="H24" s="41">
        <v>0.26187000000000021</v>
      </c>
      <c r="I24" s="41"/>
    </row>
    <row r="25" spans="1:9" x14ac:dyDescent="0.2">
      <c r="A25" t="s">
        <v>37</v>
      </c>
      <c r="B25">
        <v>1.64</v>
      </c>
      <c r="C25">
        <f>B$23-B25+C$22</f>
        <v>0.86999999999999988</v>
      </c>
      <c r="D25">
        <f t="shared" si="2"/>
        <v>0.16500000000000026</v>
      </c>
      <c r="E25">
        <f>D25+M$2</f>
        <v>0.32187000000000027</v>
      </c>
      <c r="F25" s="41" t="s">
        <v>38</v>
      </c>
      <c r="H25" s="41" cm="1">
        <f t="array" ref="H25:H28">E24:E27</f>
        <v>0.28187000000000023</v>
      </c>
      <c r="I25" s="41"/>
    </row>
    <row r="26" spans="1:9" x14ac:dyDescent="0.2">
      <c r="A26" t="s">
        <v>39</v>
      </c>
      <c r="B26">
        <v>1.66</v>
      </c>
      <c r="C26">
        <f>B$23-B26+C$22</f>
        <v>0.84999999999999987</v>
      </c>
      <c r="D26">
        <f t="shared" si="2"/>
        <v>0.14500000000000024</v>
      </c>
      <c r="E26">
        <f>D26+M$2</f>
        <v>0.30187000000000025</v>
      </c>
      <c r="F26" s="41" t="s">
        <v>19</v>
      </c>
      <c r="H26" s="41">
        <v>0.32187000000000027</v>
      </c>
      <c r="I26" s="41"/>
    </row>
    <row r="27" spans="1:9" x14ac:dyDescent="0.2">
      <c r="A27" t="s">
        <v>40</v>
      </c>
      <c r="B27">
        <v>1.71</v>
      </c>
      <c r="C27">
        <f>B$23-B27+C$22</f>
        <v>0.79999999999999982</v>
      </c>
      <c r="D27">
        <f t="shared" si="2"/>
        <v>9.5000000000000195E-2</v>
      </c>
      <c r="E27">
        <f>D27+M$2</f>
        <v>0.2518700000000002</v>
      </c>
      <c r="F27" s="41" t="s">
        <v>41</v>
      </c>
      <c r="H27" s="41">
        <v>0.30187000000000025</v>
      </c>
      <c r="I27" s="41"/>
    </row>
    <row r="28" spans="1:9" x14ac:dyDescent="0.2">
      <c r="A28" t="s">
        <v>42</v>
      </c>
      <c r="B28">
        <v>1.5149999999999999</v>
      </c>
      <c r="H28" s="41">
        <v>0.2518700000000002</v>
      </c>
      <c r="I28" s="41"/>
    </row>
    <row r="29" spans="1:9" x14ac:dyDescent="0.2">
      <c r="A29" t="s">
        <v>43</v>
      </c>
      <c r="B29">
        <v>2.12</v>
      </c>
      <c r="C29">
        <f>B$28-B29+C$27</f>
        <v>0.19499999999999962</v>
      </c>
      <c r="D29">
        <f t="shared" si="2"/>
        <v>-0.51</v>
      </c>
      <c r="E29">
        <f t="shared" ref="E29:E37" si="3">D29+M$2</f>
        <v>-0.35313</v>
      </c>
      <c r="H29" s="41" cm="1">
        <f t="array" ref="H29:H31">E35:E37</f>
        <v>0.20687000000000005</v>
      </c>
      <c r="I29" s="41"/>
    </row>
    <row r="30" spans="1:9" x14ac:dyDescent="0.2">
      <c r="A30" t="s">
        <v>44</v>
      </c>
      <c r="B30">
        <v>2.4750000000000001</v>
      </c>
      <c r="C30">
        <f t="shared" ref="C30:C36" si="4">B$28-B30+C$27</f>
        <v>-0.16000000000000036</v>
      </c>
      <c r="D30">
        <f t="shared" si="2"/>
        <v>-0.86499999999999999</v>
      </c>
      <c r="E30">
        <f t="shared" si="3"/>
        <v>-0.70812999999999993</v>
      </c>
      <c r="H30" s="41">
        <v>0.2418700000000002</v>
      </c>
      <c r="I30" s="41"/>
    </row>
    <row r="31" spans="1:9" x14ac:dyDescent="0.2">
      <c r="A31" t="s">
        <v>45</v>
      </c>
      <c r="B31">
        <v>1.93</v>
      </c>
      <c r="C31">
        <f t="shared" si="4"/>
        <v>0.38499999999999979</v>
      </c>
      <c r="D31">
        <f t="shared" si="2"/>
        <v>-0.31999999999999984</v>
      </c>
      <c r="E31">
        <f t="shared" si="3"/>
        <v>-0.16312999999999983</v>
      </c>
      <c r="H31" s="41">
        <v>0.2568700000000001</v>
      </c>
      <c r="I31" s="41"/>
    </row>
    <row r="32" spans="1:9" x14ac:dyDescent="0.2">
      <c r="A32" t="s">
        <v>46</v>
      </c>
      <c r="B32">
        <v>1.75</v>
      </c>
      <c r="C32">
        <f t="shared" si="4"/>
        <v>0.56499999999999972</v>
      </c>
      <c r="D32">
        <f t="shared" si="2"/>
        <v>-0.1399999999999999</v>
      </c>
      <c r="E32">
        <f t="shared" si="3"/>
        <v>1.6870000000000107E-2</v>
      </c>
      <c r="H32" s="41">
        <f>E40</f>
        <v>0.2518700000000002</v>
      </c>
      <c r="I32" s="41"/>
    </row>
    <row r="33" spans="1:6" x14ac:dyDescent="0.2">
      <c r="A33" t="s">
        <v>47</v>
      </c>
      <c r="B33">
        <v>1.73</v>
      </c>
      <c r="C33">
        <f t="shared" si="4"/>
        <v>0.58499999999999974</v>
      </c>
      <c r="D33">
        <f t="shared" si="2"/>
        <v>-0.11999999999999988</v>
      </c>
      <c r="E33">
        <f t="shared" si="3"/>
        <v>3.6870000000000125E-2</v>
      </c>
    </row>
    <row r="34" spans="1:6" x14ac:dyDescent="0.2">
      <c r="A34" s="38" t="s">
        <v>48</v>
      </c>
      <c r="B34" s="38">
        <v>1.61</v>
      </c>
      <c r="C34" s="38">
        <f t="shared" si="4"/>
        <v>0.70499999999999963</v>
      </c>
      <c r="D34" s="38">
        <f t="shared" si="2"/>
        <v>0</v>
      </c>
      <c r="E34" s="38">
        <f t="shared" si="3"/>
        <v>0.15687000000000001</v>
      </c>
      <c r="F34" s="5" t="s">
        <v>477</v>
      </c>
    </row>
    <row r="35" spans="1:6" x14ac:dyDescent="0.2">
      <c r="A35" t="s">
        <v>49</v>
      </c>
      <c r="B35">
        <v>1.56</v>
      </c>
      <c r="C35">
        <f t="shared" si="4"/>
        <v>0.75499999999999967</v>
      </c>
      <c r="D35">
        <f t="shared" si="2"/>
        <v>5.0000000000000044E-2</v>
      </c>
      <c r="E35">
        <f t="shared" si="3"/>
        <v>0.20687000000000005</v>
      </c>
      <c r="F35" s="41" t="s">
        <v>50</v>
      </c>
    </row>
    <row r="36" spans="1:6" x14ac:dyDescent="0.2">
      <c r="A36" t="s">
        <v>51</v>
      </c>
      <c r="B36">
        <v>1.5249999999999999</v>
      </c>
      <c r="C36">
        <f t="shared" si="4"/>
        <v>0.78999999999999981</v>
      </c>
      <c r="D36">
        <f t="shared" si="2"/>
        <v>8.5000000000000187E-2</v>
      </c>
      <c r="E36">
        <f t="shared" si="3"/>
        <v>0.2418700000000002</v>
      </c>
      <c r="F36" s="41" t="s">
        <v>52</v>
      </c>
    </row>
    <row r="37" spans="1:6" x14ac:dyDescent="0.2">
      <c r="A37" t="s">
        <v>53</v>
      </c>
      <c r="B37">
        <v>1.51</v>
      </c>
      <c r="C37">
        <f>B$28-B37+C$27</f>
        <v>0.80499999999999972</v>
      </c>
      <c r="D37">
        <f t="shared" si="2"/>
        <v>0.10000000000000009</v>
      </c>
      <c r="E37">
        <f t="shared" si="3"/>
        <v>0.2568700000000001</v>
      </c>
      <c r="F37" s="41" t="s">
        <v>54</v>
      </c>
    </row>
    <row r="38" spans="1:6" x14ac:dyDescent="0.2">
      <c r="A38" t="s">
        <v>55</v>
      </c>
      <c r="B38">
        <v>1.415</v>
      </c>
    </row>
    <row r="39" spans="1:6" x14ac:dyDescent="0.2">
      <c r="A39" t="s">
        <v>56</v>
      </c>
      <c r="B39">
        <v>1.385</v>
      </c>
      <c r="C39">
        <f>B$38-B39+C$37</f>
        <v>0.83499999999999974</v>
      </c>
      <c r="D39">
        <f t="shared" si="2"/>
        <v>0.13000000000000012</v>
      </c>
      <c r="E39">
        <f>D39+M$2</f>
        <v>0.28687000000000012</v>
      </c>
    </row>
    <row r="40" spans="1:6" x14ac:dyDescent="0.2">
      <c r="A40" t="s">
        <v>57</v>
      </c>
      <c r="B40">
        <v>1.42</v>
      </c>
      <c r="C40">
        <f t="shared" ref="C40:C43" si="5">B$38-B40+C$37</f>
        <v>0.79999999999999982</v>
      </c>
      <c r="D40">
        <f t="shared" si="2"/>
        <v>9.5000000000000195E-2</v>
      </c>
      <c r="E40">
        <f>D40+M$2</f>
        <v>0.2518700000000002</v>
      </c>
      <c r="F40" s="41" t="s">
        <v>58</v>
      </c>
    </row>
    <row r="41" spans="1:6" x14ac:dyDescent="0.2">
      <c r="A41" t="s">
        <v>59</v>
      </c>
      <c r="B41">
        <v>1.81</v>
      </c>
      <c r="C41">
        <f t="shared" si="5"/>
        <v>0.4099999999999997</v>
      </c>
      <c r="D41">
        <f t="shared" si="2"/>
        <v>-0.29499999999999993</v>
      </c>
      <c r="E41">
        <f>D41+M$2</f>
        <v>-0.13812999999999992</v>
      </c>
    </row>
    <row r="42" spans="1:6" x14ac:dyDescent="0.2">
      <c r="A42" t="s">
        <v>60</v>
      </c>
      <c r="B42">
        <v>1.9</v>
      </c>
      <c r="C42">
        <f t="shared" si="5"/>
        <v>0.31999999999999984</v>
      </c>
      <c r="D42">
        <f t="shared" si="2"/>
        <v>-0.38499999999999979</v>
      </c>
      <c r="E42">
        <f>D42+M$2</f>
        <v>-0.22812999999999978</v>
      </c>
      <c r="F42" t="s">
        <v>61</v>
      </c>
    </row>
    <row r="43" spans="1:6" x14ac:dyDescent="0.2">
      <c r="A43" t="s">
        <v>62</v>
      </c>
      <c r="B43">
        <v>2.35</v>
      </c>
      <c r="C43" s="37">
        <f t="shared" si="5"/>
        <v>-0.13000000000000034</v>
      </c>
      <c r="D43" s="30">
        <f t="shared" si="2"/>
        <v>-0.83499999999999996</v>
      </c>
      <c r="E43" s="30">
        <f>D43+M$2</f>
        <v>-0.6781299999999999</v>
      </c>
      <c r="F43" t="s">
        <v>63</v>
      </c>
    </row>
    <row r="45" spans="1:6" x14ac:dyDescent="0.2">
      <c r="A45" s="5" t="s">
        <v>463</v>
      </c>
    </row>
    <row r="46" spans="1:6" x14ac:dyDescent="0.2">
      <c r="A46" s="30" t="s">
        <v>81</v>
      </c>
      <c r="B46">
        <f>SUM(B6,B15,B17,B23,B28,B38)</f>
        <v>9.7650000000000006</v>
      </c>
    </row>
    <row r="47" spans="1:6" x14ac:dyDescent="0.2">
      <c r="A47" t="s">
        <v>79</v>
      </c>
      <c r="B47">
        <f>SUM(B14,B16,B22,B27,B37,B43)</f>
        <v>9.8949999999999996</v>
      </c>
    </row>
    <row r="48" spans="1:6" x14ac:dyDescent="0.2">
      <c r="A48" t="s">
        <v>462</v>
      </c>
      <c r="B48" s="37">
        <f>B46-B47</f>
        <v>-0.12999999999999901</v>
      </c>
    </row>
  </sheetData>
  <conditionalFormatting sqref="A6:A43 A47:A48">
    <cfRule type="containsText" dxfId="3" priority="1" operator="containsText" text="BS">
      <formula>NOT(ISERROR(SEARCH("BS",A6)))</formula>
    </cfRule>
  </conditionalFormatting>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14BAA-5954-C540-B434-F173F533482B}">
  <sheetPr>
    <tabColor rgb="FFFF7E79"/>
  </sheetPr>
  <dimension ref="A1:AC58"/>
  <sheetViews>
    <sheetView topLeftCell="K1" zoomScale="90" zoomScaleNormal="90" workbookViewId="0">
      <selection activeCell="T7" sqref="T7"/>
    </sheetView>
  </sheetViews>
  <sheetFormatPr baseColWidth="10" defaultColWidth="11" defaultRowHeight="16" x14ac:dyDescent="0.2"/>
  <cols>
    <col min="1" max="1" width="13.83203125" bestFit="1" customWidth="1"/>
    <col min="3" max="3" width="12.5" bestFit="1" customWidth="1"/>
    <col min="4" max="4" width="16.6640625" bestFit="1" customWidth="1"/>
    <col min="5" max="5" width="23.33203125" bestFit="1" customWidth="1"/>
    <col min="11" max="11" width="28.6640625" customWidth="1"/>
    <col min="12" max="12" width="20.33203125" customWidth="1"/>
    <col min="14" max="14" width="17" bestFit="1" customWidth="1"/>
    <col min="15" max="15" width="15" bestFit="1" customWidth="1"/>
    <col min="16" max="16" width="13.83203125" bestFit="1" customWidth="1"/>
    <col min="17" max="17" width="21.33203125" bestFit="1" customWidth="1"/>
    <col min="18" max="18" width="19.33203125" customWidth="1"/>
    <col min="21" max="21" width="13.6640625" bestFit="1" customWidth="1"/>
    <col min="22" max="22" width="12.33203125" bestFit="1" customWidth="1"/>
    <col min="26" max="26" width="17.33203125" bestFit="1" customWidth="1"/>
    <col min="27" max="27" width="14.1640625" bestFit="1" customWidth="1"/>
    <col min="29" max="29" width="17.6640625" bestFit="1" customWidth="1"/>
  </cols>
  <sheetData>
    <row r="1" spans="1:29" x14ac:dyDescent="0.2">
      <c r="A1" t="s">
        <v>0</v>
      </c>
      <c r="B1" t="s">
        <v>64</v>
      </c>
      <c r="H1" s="5"/>
      <c r="N1" s="32" t="s">
        <v>479</v>
      </c>
      <c r="O1" s="32" t="s">
        <v>465</v>
      </c>
      <c r="P1" s="32" t="s">
        <v>464</v>
      </c>
      <c r="Q1" s="32" t="s">
        <v>467</v>
      </c>
      <c r="R1" s="33"/>
      <c r="T1" s="32" t="s">
        <v>468</v>
      </c>
      <c r="U1" s="32" t="s">
        <v>465</v>
      </c>
      <c r="V1" s="32" t="s">
        <v>464</v>
      </c>
      <c r="W1" s="32" t="s">
        <v>467</v>
      </c>
      <c r="Z1" s="32" t="s">
        <v>478</v>
      </c>
      <c r="AA1" s="32" t="s">
        <v>465</v>
      </c>
      <c r="AB1" s="32" t="s">
        <v>464</v>
      </c>
      <c r="AC1" s="32" t="s">
        <v>467</v>
      </c>
    </row>
    <row r="2" spans="1:29" x14ac:dyDescent="0.2">
      <c r="A2" t="s">
        <v>2</v>
      </c>
      <c r="B2" s="1">
        <v>43804</v>
      </c>
      <c r="O2" s="35">
        <v>-4.3534499999999996</v>
      </c>
      <c r="P2" s="35">
        <v>-4.6165500000000002</v>
      </c>
      <c r="Q2">
        <f>O2-P2</f>
        <v>0.26310000000000056</v>
      </c>
      <c r="U2" s="35">
        <v>-4.4920600000000004</v>
      </c>
      <c r="V2" s="35">
        <v>-4.6124499999999999</v>
      </c>
      <c r="W2">
        <f>U2-V2</f>
        <v>0.12038999999999955</v>
      </c>
      <c r="AA2" s="35">
        <v>-4.4619999999999997</v>
      </c>
      <c r="AB2" s="35">
        <v>-4.6188700000000003</v>
      </c>
      <c r="AC2" s="35">
        <v>0.15687000000000001</v>
      </c>
    </row>
    <row r="3" spans="1:29" x14ac:dyDescent="0.2">
      <c r="A3" t="s">
        <v>4</v>
      </c>
      <c r="B3" t="s">
        <v>65</v>
      </c>
    </row>
    <row r="4" spans="1:29" x14ac:dyDescent="0.2">
      <c r="K4" s="36"/>
      <c r="N4" s="59"/>
      <c r="O4" s="59"/>
      <c r="P4" s="59"/>
      <c r="Q4" s="59"/>
      <c r="R4" s="59"/>
    </row>
    <row r="5" spans="1:29" ht="68" x14ac:dyDescent="0.2">
      <c r="A5" t="s">
        <v>6</v>
      </c>
      <c r="B5" t="s">
        <v>7</v>
      </c>
      <c r="C5" t="s">
        <v>8</v>
      </c>
      <c r="D5" t="s">
        <v>497</v>
      </c>
      <c r="E5" t="s">
        <v>498</v>
      </c>
      <c r="F5" t="s">
        <v>9</v>
      </c>
      <c r="L5" s="40" t="s">
        <v>474</v>
      </c>
      <c r="M5" s="41"/>
      <c r="N5" s="58"/>
      <c r="O5" s="60" t="s">
        <v>500</v>
      </c>
      <c r="P5" s="61" t="s">
        <v>498</v>
      </c>
      <c r="Q5" s="63" t="s">
        <v>501</v>
      </c>
      <c r="R5" s="63" t="s">
        <v>498</v>
      </c>
      <c r="S5" s="70" t="s">
        <v>502</v>
      </c>
      <c r="T5" s="72" t="s">
        <v>503</v>
      </c>
    </row>
    <row r="6" spans="1:29" x14ac:dyDescent="0.2">
      <c r="A6" t="s">
        <v>10</v>
      </c>
      <c r="B6">
        <v>2.39</v>
      </c>
      <c r="F6" t="s">
        <v>66</v>
      </c>
      <c r="L6" s="40" t="s">
        <v>483</v>
      </c>
      <c r="M6" s="41"/>
      <c r="N6" s="28"/>
      <c r="O6" s="62"/>
      <c r="P6" s="62"/>
      <c r="Q6" s="64"/>
      <c r="R6" s="64"/>
      <c r="S6" s="71"/>
      <c r="T6" s="73"/>
    </row>
    <row r="7" spans="1:29" x14ac:dyDescent="0.2">
      <c r="A7" t="s">
        <v>12</v>
      </c>
      <c r="B7">
        <v>1.68</v>
      </c>
      <c r="C7">
        <f>B$6-B7</f>
        <v>0.71000000000000019</v>
      </c>
      <c r="D7">
        <f>C7-C$12</f>
        <v>-0.12999999999999989</v>
      </c>
      <c r="E7">
        <f>D7+Q$2</f>
        <v>0.13310000000000066</v>
      </c>
      <c r="F7" s="41" t="s">
        <v>67</v>
      </c>
      <c r="G7" s="41"/>
      <c r="H7" s="41"/>
      <c r="I7" s="41"/>
      <c r="J7" s="41"/>
      <c r="L7" s="41"/>
      <c r="M7" s="41"/>
      <c r="N7" s="28"/>
      <c r="O7" s="62">
        <f t="shared" ref="O7:O52" si="0">C7-C$24</f>
        <v>-7.9999999999999849E-2</v>
      </c>
      <c r="P7" s="109">
        <f>O7+W$2</f>
        <v>4.0389999999999704E-2</v>
      </c>
      <c r="Q7" s="64">
        <f t="shared" ref="Q7:Q52" si="1">C7-C$12</f>
        <v>-0.12999999999999989</v>
      </c>
      <c r="R7" s="64">
        <f>Q7+AC$2</f>
        <v>2.6870000000000116E-2</v>
      </c>
      <c r="S7" s="71">
        <f t="shared" ref="S7:S52" si="2">E7-P7</f>
        <v>9.2710000000000958E-2</v>
      </c>
      <c r="T7" s="73">
        <f>R7-P7</f>
        <v>-1.3519999999999588E-2</v>
      </c>
    </row>
    <row r="8" spans="1:29" x14ac:dyDescent="0.2">
      <c r="A8" t="s">
        <v>14</v>
      </c>
      <c r="B8">
        <v>1.5249999999999999</v>
      </c>
      <c r="C8">
        <f t="shared" ref="C8:C12" si="3">B$6-B8</f>
        <v>0.86500000000000021</v>
      </c>
      <c r="D8">
        <f t="shared" ref="D8:D52" si="4">C8-C$12</f>
        <v>2.5000000000000133E-2</v>
      </c>
      <c r="E8">
        <f t="shared" ref="E8:E52" si="5">D8+Q$2</f>
        <v>0.28810000000000069</v>
      </c>
      <c r="F8" s="41" t="s">
        <v>68</v>
      </c>
      <c r="G8" s="41"/>
      <c r="H8" s="41"/>
      <c r="I8" s="41"/>
      <c r="J8" s="41"/>
      <c r="L8" s="41">
        <f>MIN(E$7:E$11,E$31,E$35,E$38,E$40:E$41,E$46,E$48:E$50,E33,E45)</f>
        <v>0.13310000000000066</v>
      </c>
      <c r="M8" s="41" t="s">
        <v>475</v>
      </c>
      <c r="N8" s="28"/>
      <c r="O8" s="62">
        <f t="shared" si="0"/>
        <v>7.5000000000000178E-2</v>
      </c>
      <c r="P8" s="109">
        <f t="shared" ref="P8:P34" si="6">O8+W$2</f>
        <v>0.19538999999999973</v>
      </c>
      <c r="Q8" s="64">
        <f t="shared" si="1"/>
        <v>2.5000000000000133E-2</v>
      </c>
      <c r="R8" s="64">
        <f t="shared" ref="R8:R12" si="7">Q8+AC$2</f>
        <v>0.18187000000000014</v>
      </c>
      <c r="S8" s="71">
        <f t="shared" si="2"/>
        <v>9.2710000000000958E-2</v>
      </c>
      <c r="T8" s="73">
        <f t="shared" ref="T8:T52" si="8">R8-P8</f>
        <v>-1.3519999999999588E-2</v>
      </c>
    </row>
    <row r="9" spans="1:29" x14ac:dyDescent="0.2">
      <c r="A9" t="s">
        <v>16</v>
      </c>
      <c r="B9">
        <v>1.5</v>
      </c>
      <c r="C9">
        <f t="shared" si="3"/>
        <v>0.89000000000000012</v>
      </c>
      <c r="D9">
        <f t="shared" si="4"/>
        <v>5.0000000000000044E-2</v>
      </c>
      <c r="E9">
        <f t="shared" si="5"/>
        <v>0.3131000000000006</v>
      </c>
      <c r="F9" s="41" t="s">
        <v>69</v>
      </c>
      <c r="G9" s="41"/>
      <c r="H9" s="41"/>
      <c r="I9" s="41"/>
      <c r="J9" s="41"/>
      <c r="L9" s="41">
        <f>MAX(E$7:E$11,E$31,E$35,E$38,E$40:E$41,E$46,E$48:E$50,E33,E45)</f>
        <v>0.4531000000000005</v>
      </c>
      <c r="M9" s="41" t="s">
        <v>476</v>
      </c>
      <c r="N9" s="28"/>
      <c r="O9" s="62">
        <f t="shared" si="0"/>
        <v>0.10000000000000009</v>
      </c>
      <c r="P9" s="109">
        <f t="shared" si="6"/>
        <v>0.22038999999999964</v>
      </c>
      <c r="Q9" s="64">
        <f t="shared" si="1"/>
        <v>5.0000000000000044E-2</v>
      </c>
      <c r="R9" s="64">
        <f t="shared" si="7"/>
        <v>0.20687000000000005</v>
      </c>
      <c r="S9" s="71">
        <f t="shared" si="2"/>
        <v>9.2710000000000958E-2</v>
      </c>
      <c r="T9" s="73">
        <f t="shared" si="8"/>
        <v>-1.3519999999999588E-2</v>
      </c>
    </row>
    <row r="10" spans="1:29" x14ac:dyDescent="0.2">
      <c r="A10" t="s">
        <v>18</v>
      </c>
      <c r="B10">
        <v>1.51</v>
      </c>
      <c r="C10">
        <f t="shared" si="3"/>
        <v>0.88000000000000012</v>
      </c>
      <c r="D10">
        <f t="shared" si="4"/>
        <v>4.0000000000000036E-2</v>
      </c>
      <c r="E10">
        <f t="shared" si="5"/>
        <v>0.30310000000000059</v>
      </c>
      <c r="F10" s="41" t="s">
        <v>70</v>
      </c>
      <c r="G10" s="41"/>
      <c r="H10" s="41"/>
      <c r="I10" s="41"/>
      <c r="J10" s="41"/>
      <c r="L10" s="41"/>
      <c r="M10" s="41"/>
      <c r="N10" s="28"/>
      <c r="O10" s="62">
        <f t="shared" si="0"/>
        <v>9.000000000000008E-2</v>
      </c>
      <c r="P10" s="109">
        <f t="shared" si="6"/>
        <v>0.21038999999999963</v>
      </c>
      <c r="Q10" s="64">
        <f t="shared" si="1"/>
        <v>4.0000000000000036E-2</v>
      </c>
      <c r="R10" s="64">
        <f t="shared" si="7"/>
        <v>0.19687000000000004</v>
      </c>
      <c r="S10" s="71">
        <f t="shared" si="2"/>
        <v>9.2710000000000958E-2</v>
      </c>
      <c r="T10" s="73">
        <f t="shared" si="8"/>
        <v>-1.3519999999999588E-2</v>
      </c>
    </row>
    <row r="11" spans="1:29" x14ac:dyDescent="0.2">
      <c r="A11" t="s">
        <v>20</v>
      </c>
      <c r="B11">
        <v>1.51</v>
      </c>
      <c r="C11">
        <f t="shared" si="3"/>
        <v>0.88000000000000012</v>
      </c>
      <c r="D11">
        <f t="shared" si="4"/>
        <v>4.0000000000000036E-2</v>
      </c>
      <c r="E11">
        <f t="shared" si="5"/>
        <v>0.30310000000000059</v>
      </c>
      <c r="F11" s="41" t="s">
        <v>71</v>
      </c>
      <c r="G11" s="41"/>
      <c r="H11" s="41"/>
      <c r="I11" s="41"/>
      <c r="J11" s="41"/>
      <c r="L11" s="41">
        <f>E7</f>
        <v>0.13310000000000066</v>
      </c>
      <c r="M11" s="41"/>
      <c r="N11" s="28"/>
      <c r="O11" s="62">
        <f t="shared" si="0"/>
        <v>9.000000000000008E-2</v>
      </c>
      <c r="P11" s="109">
        <f t="shared" si="6"/>
        <v>0.21038999999999963</v>
      </c>
      <c r="Q11" s="64">
        <f t="shared" si="1"/>
        <v>4.0000000000000036E-2</v>
      </c>
      <c r="R11" s="64">
        <f t="shared" si="7"/>
        <v>0.19687000000000004</v>
      </c>
      <c r="S11" s="71">
        <f t="shared" si="2"/>
        <v>9.2710000000000958E-2</v>
      </c>
      <c r="T11" s="73">
        <f t="shared" si="8"/>
        <v>-1.3519999999999588E-2</v>
      </c>
    </row>
    <row r="12" spans="1:29" x14ac:dyDescent="0.2">
      <c r="A12" s="38" t="s">
        <v>72</v>
      </c>
      <c r="B12" s="38">
        <v>1.55</v>
      </c>
      <c r="C12" s="38">
        <f t="shared" si="3"/>
        <v>0.84000000000000008</v>
      </c>
      <c r="D12" s="38">
        <f t="shared" si="4"/>
        <v>0</v>
      </c>
      <c r="E12" s="38">
        <f t="shared" si="5"/>
        <v>0.26310000000000056</v>
      </c>
      <c r="F12" t="s">
        <v>73</v>
      </c>
      <c r="I12" s="5" t="s">
        <v>504</v>
      </c>
      <c r="L12" s="41">
        <f t="shared" ref="L12:L15" si="9">E8</f>
        <v>0.28810000000000069</v>
      </c>
      <c r="M12" s="41"/>
      <c r="N12" s="28"/>
      <c r="O12" s="62">
        <f t="shared" si="0"/>
        <v>5.0000000000000044E-2</v>
      </c>
      <c r="P12" s="109">
        <f t="shared" si="6"/>
        <v>0.1703899999999996</v>
      </c>
      <c r="Q12" s="64">
        <f t="shared" si="1"/>
        <v>0</v>
      </c>
      <c r="R12" s="64">
        <f t="shared" si="7"/>
        <v>0.15687000000000001</v>
      </c>
      <c r="S12" s="71">
        <f t="shared" si="2"/>
        <v>9.2710000000000958E-2</v>
      </c>
      <c r="T12" s="73">
        <f t="shared" si="8"/>
        <v>-1.3519999999999588E-2</v>
      </c>
    </row>
    <row r="13" spans="1:29" x14ac:dyDescent="0.2">
      <c r="A13" t="s">
        <v>74</v>
      </c>
      <c r="B13">
        <v>1.45</v>
      </c>
      <c r="L13" s="41">
        <f t="shared" si="9"/>
        <v>0.3131000000000006</v>
      </c>
      <c r="M13" s="41"/>
      <c r="N13" s="28"/>
      <c r="O13" s="62"/>
      <c r="P13" s="109"/>
      <c r="Q13" s="64"/>
      <c r="R13" s="64"/>
      <c r="S13" s="71"/>
      <c r="T13" s="73"/>
    </row>
    <row r="14" spans="1:29" x14ac:dyDescent="0.2">
      <c r="A14" t="s">
        <v>75</v>
      </c>
      <c r="B14">
        <v>1.47</v>
      </c>
      <c r="C14">
        <f>B$13-B14+C$12</f>
        <v>0.82000000000000006</v>
      </c>
      <c r="D14">
        <f t="shared" si="4"/>
        <v>-2.0000000000000018E-2</v>
      </c>
      <c r="E14">
        <f t="shared" si="5"/>
        <v>0.24310000000000054</v>
      </c>
      <c r="L14" s="41">
        <f t="shared" si="9"/>
        <v>0.30310000000000059</v>
      </c>
      <c r="M14" s="41"/>
      <c r="N14" s="28"/>
      <c r="O14" s="62">
        <f t="shared" si="0"/>
        <v>3.0000000000000027E-2</v>
      </c>
      <c r="P14" s="109">
        <f t="shared" si="6"/>
        <v>0.15038999999999958</v>
      </c>
      <c r="Q14" s="64">
        <f t="shared" si="1"/>
        <v>-2.0000000000000018E-2</v>
      </c>
      <c r="R14" s="64">
        <f t="shared" ref="R14:R28" si="10">Q14+AC$2</f>
        <v>0.13686999999999999</v>
      </c>
      <c r="S14" s="71">
        <f t="shared" si="2"/>
        <v>9.2710000000000958E-2</v>
      </c>
      <c r="T14" s="73">
        <f t="shared" si="8"/>
        <v>-1.3519999999999588E-2</v>
      </c>
    </row>
    <row r="15" spans="1:29" x14ac:dyDescent="0.2">
      <c r="A15" t="s">
        <v>21</v>
      </c>
      <c r="B15">
        <v>1.42</v>
      </c>
      <c r="C15">
        <f t="shared" ref="C15:C28" si="11">B$13-B15+C$12</f>
        <v>0.87000000000000011</v>
      </c>
      <c r="D15">
        <f t="shared" si="4"/>
        <v>3.0000000000000027E-2</v>
      </c>
      <c r="E15">
        <f t="shared" si="5"/>
        <v>0.29310000000000058</v>
      </c>
      <c r="F15" s="41" t="s">
        <v>19</v>
      </c>
      <c r="L15" s="41">
        <f t="shared" si="9"/>
        <v>0.30310000000000059</v>
      </c>
      <c r="M15" s="41"/>
      <c r="N15" s="28"/>
      <c r="O15" s="62">
        <f t="shared" si="0"/>
        <v>8.0000000000000071E-2</v>
      </c>
      <c r="P15" s="109">
        <f t="shared" si="6"/>
        <v>0.20038999999999962</v>
      </c>
      <c r="Q15" s="64">
        <f t="shared" si="1"/>
        <v>3.0000000000000027E-2</v>
      </c>
      <c r="R15" s="64">
        <f t="shared" si="10"/>
        <v>0.18687000000000004</v>
      </c>
      <c r="S15" s="71">
        <f t="shared" si="2"/>
        <v>9.2710000000000958E-2</v>
      </c>
      <c r="T15" s="73">
        <f t="shared" si="8"/>
        <v>-1.3519999999999588E-2</v>
      </c>
    </row>
    <row r="16" spans="1:29" x14ac:dyDescent="0.2">
      <c r="A16" t="s">
        <v>22</v>
      </c>
      <c r="B16">
        <v>1.52</v>
      </c>
      <c r="C16">
        <f t="shared" si="11"/>
        <v>0.77</v>
      </c>
      <c r="D16">
        <f t="shared" si="4"/>
        <v>-7.0000000000000062E-2</v>
      </c>
      <c r="E16">
        <f t="shared" si="5"/>
        <v>0.19310000000000049</v>
      </c>
      <c r="F16" s="30" t="s">
        <v>76</v>
      </c>
      <c r="L16" s="41">
        <f>E15</f>
        <v>0.29310000000000058</v>
      </c>
      <c r="M16" s="41"/>
      <c r="N16" s="28"/>
      <c r="O16" s="62">
        <f t="shared" si="0"/>
        <v>-2.0000000000000018E-2</v>
      </c>
      <c r="P16" s="109">
        <f t="shared" si="6"/>
        <v>0.10038999999999954</v>
      </c>
      <c r="Q16" s="64">
        <f t="shared" si="1"/>
        <v>-7.0000000000000062E-2</v>
      </c>
      <c r="R16" s="64">
        <f t="shared" si="10"/>
        <v>8.6869999999999947E-2</v>
      </c>
      <c r="S16" s="71">
        <f t="shared" si="2"/>
        <v>9.2710000000000958E-2</v>
      </c>
      <c r="T16" s="73">
        <f t="shared" si="8"/>
        <v>-1.3519999999999588E-2</v>
      </c>
    </row>
    <row r="17" spans="1:20" x14ac:dyDescent="0.2">
      <c r="A17" t="s">
        <v>23</v>
      </c>
      <c r="B17">
        <v>1.57</v>
      </c>
      <c r="C17">
        <f t="shared" si="11"/>
        <v>0.72</v>
      </c>
      <c r="D17">
        <f t="shared" si="4"/>
        <v>-0.12000000000000011</v>
      </c>
      <c r="E17">
        <f t="shared" si="5"/>
        <v>0.14310000000000045</v>
      </c>
      <c r="F17" s="30" t="s">
        <v>19</v>
      </c>
      <c r="L17" s="41">
        <f>E31</f>
        <v>0.4531000000000005</v>
      </c>
      <c r="M17" s="41"/>
      <c r="N17" s="28"/>
      <c r="O17" s="62">
        <f t="shared" si="0"/>
        <v>-7.0000000000000062E-2</v>
      </c>
      <c r="P17" s="109">
        <f t="shared" si="6"/>
        <v>5.0389999999999491E-2</v>
      </c>
      <c r="Q17" s="64">
        <f t="shared" si="1"/>
        <v>-0.12000000000000011</v>
      </c>
      <c r="R17" s="64">
        <f t="shared" si="10"/>
        <v>3.6869999999999903E-2</v>
      </c>
      <c r="S17" s="71">
        <f t="shared" si="2"/>
        <v>9.2710000000000958E-2</v>
      </c>
      <c r="T17" s="73">
        <f t="shared" si="8"/>
        <v>-1.3519999999999588E-2</v>
      </c>
    </row>
    <row r="18" spans="1:20" x14ac:dyDescent="0.2">
      <c r="A18" t="s">
        <v>26</v>
      </c>
      <c r="B18">
        <v>1.61</v>
      </c>
      <c r="C18">
        <f t="shared" si="11"/>
        <v>0.67999999999999994</v>
      </c>
      <c r="D18">
        <f t="shared" si="4"/>
        <v>-0.16000000000000014</v>
      </c>
      <c r="E18">
        <f t="shared" si="5"/>
        <v>0.10310000000000041</v>
      </c>
      <c r="F18" s="30" t="s">
        <v>19</v>
      </c>
      <c r="L18" s="41">
        <f>E33</f>
        <v>0.42310000000000048</v>
      </c>
      <c r="M18" s="41"/>
      <c r="N18" s="28"/>
      <c r="O18" s="62">
        <f t="shared" si="0"/>
        <v>-0.1100000000000001</v>
      </c>
      <c r="P18" s="109">
        <f t="shared" si="6"/>
        <v>1.0389999999999455E-2</v>
      </c>
      <c r="Q18" s="64">
        <f t="shared" si="1"/>
        <v>-0.16000000000000014</v>
      </c>
      <c r="R18" s="64">
        <f t="shared" si="10"/>
        <v>-3.1300000000001327E-3</v>
      </c>
      <c r="S18" s="71">
        <f t="shared" si="2"/>
        <v>9.2710000000000958E-2</v>
      </c>
      <c r="T18" s="73">
        <f t="shared" si="8"/>
        <v>-1.3519999999999588E-2</v>
      </c>
    </row>
    <row r="19" spans="1:20" x14ac:dyDescent="0.2">
      <c r="A19" t="s">
        <v>29</v>
      </c>
      <c r="B19">
        <v>1.6</v>
      </c>
      <c r="C19">
        <f t="shared" si="11"/>
        <v>0.69</v>
      </c>
      <c r="D19">
        <f t="shared" si="4"/>
        <v>-0.15000000000000013</v>
      </c>
      <c r="E19">
        <f t="shared" si="5"/>
        <v>0.11310000000000042</v>
      </c>
      <c r="F19" s="30" t="s">
        <v>19</v>
      </c>
      <c r="L19" s="41">
        <f>E35</f>
        <v>0.40810000000000057</v>
      </c>
      <c r="M19" s="41"/>
      <c r="N19" s="28"/>
      <c r="O19" s="62">
        <f t="shared" si="0"/>
        <v>-0.10000000000000009</v>
      </c>
      <c r="P19" s="109">
        <f t="shared" si="6"/>
        <v>2.0389999999999464E-2</v>
      </c>
      <c r="Q19" s="64">
        <f t="shared" si="1"/>
        <v>-0.15000000000000013</v>
      </c>
      <c r="R19" s="64">
        <f t="shared" si="10"/>
        <v>6.8699999999998762E-3</v>
      </c>
      <c r="S19" s="71">
        <f t="shared" si="2"/>
        <v>9.2710000000000958E-2</v>
      </c>
      <c r="T19" s="73">
        <f t="shared" si="8"/>
        <v>-1.3519999999999588E-2</v>
      </c>
    </row>
    <row r="20" spans="1:20" x14ac:dyDescent="0.2">
      <c r="A20" t="s">
        <v>30</v>
      </c>
      <c r="B20">
        <v>1.44</v>
      </c>
      <c r="C20">
        <f t="shared" si="11"/>
        <v>0.85000000000000009</v>
      </c>
      <c r="D20">
        <f t="shared" si="4"/>
        <v>1.0000000000000009E-2</v>
      </c>
      <c r="E20">
        <f t="shared" si="5"/>
        <v>0.27310000000000056</v>
      </c>
      <c r="F20" s="30" t="s">
        <v>77</v>
      </c>
      <c r="L20" s="41">
        <f>E38</f>
        <v>0.38810000000000056</v>
      </c>
      <c r="M20" s="41"/>
      <c r="N20" s="28"/>
      <c r="O20" s="62">
        <f t="shared" si="0"/>
        <v>6.0000000000000053E-2</v>
      </c>
      <c r="P20" s="109">
        <f t="shared" si="6"/>
        <v>0.18038999999999961</v>
      </c>
      <c r="Q20" s="64">
        <f t="shared" si="1"/>
        <v>1.0000000000000009E-2</v>
      </c>
      <c r="R20" s="64">
        <f t="shared" si="10"/>
        <v>0.16687000000000002</v>
      </c>
      <c r="S20" s="71">
        <f t="shared" si="2"/>
        <v>9.2710000000000958E-2</v>
      </c>
      <c r="T20" s="73">
        <f t="shared" si="8"/>
        <v>-1.3519999999999588E-2</v>
      </c>
    </row>
    <row r="21" spans="1:20" x14ac:dyDescent="0.2">
      <c r="A21" t="s">
        <v>31</v>
      </c>
      <c r="B21">
        <v>1.46</v>
      </c>
      <c r="C21">
        <f t="shared" si="11"/>
        <v>0.83000000000000007</v>
      </c>
      <c r="D21">
        <f t="shared" si="4"/>
        <v>-1.0000000000000009E-2</v>
      </c>
      <c r="E21">
        <f t="shared" si="5"/>
        <v>0.25310000000000055</v>
      </c>
      <c r="F21" s="30" t="s">
        <v>19</v>
      </c>
      <c r="L21" s="41">
        <f>E40</f>
        <v>0.40310000000000046</v>
      </c>
      <c r="M21" s="41"/>
      <c r="N21" s="28"/>
      <c r="O21" s="62">
        <f t="shared" si="0"/>
        <v>4.0000000000000036E-2</v>
      </c>
      <c r="P21" s="109">
        <f t="shared" si="6"/>
        <v>0.16038999999999959</v>
      </c>
      <c r="Q21" s="64">
        <f t="shared" si="1"/>
        <v>-1.0000000000000009E-2</v>
      </c>
      <c r="R21" s="64">
        <f t="shared" si="10"/>
        <v>0.14687</v>
      </c>
      <c r="S21" s="71">
        <f t="shared" si="2"/>
        <v>9.2710000000000958E-2</v>
      </c>
      <c r="T21" s="73">
        <f t="shared" si="8"/>
        <v>-1.3519999999999588E-2</v>
      </c>
    </row>
    <row r="22" spans="1:20" x14ac:dyDescent="0.2">
      <c r="A22" t="s">
        <v>32</v>
      </c>
      <c r="B22">
        <v>1.46</v>
      </c>
      <c r="C22">
        <f t="shared" si="11"/>
        <v>0.83000000000000007</v>
      </c>
      <c r="D22">
        <f t="shared" si="4"/>
        <v>-1.0000000000000009E-2</v>
      </c>
      <c r="E22">
        <f t="shared" si="5"/>
        <v>0.25310000000000055</v>
      </c>
      <c r="F22" s="30" t="s">
        <v>19</v>
      </c>
      <c r="L22" s="41">
        <f>E41</f>
        <v>0.41310000000000047</v>
      </c>
      <c r="M22" s="41"/>
      <c r="N22" s="28"/>
      <c r="O22" s="62">
        <f t="shared" si="0"/>
        <v>4.0000000000000036E-2</v>
      </c>
      <c r="P22" s="109">
        <f t="shared" si="6"/>
        <v>0.16038999999999959</v>
      </c>
      <c r="Q22" s="64">
        <f t="shared" si="1"/>
        <v>-1.0000000000000009E-2</v>
      </c>
      <c r="R22" s="64">
        <f t="shared" si="10"/>
        <v>0.14687</v>
      </c>
      <c r="S22" s="71">
        <f t="shared" si="2"/>
        <v>9.2710000000000958E-2</v>
      </c>
      <c r="T22" s="73">
        <f t="shared" si="8"/>
        <v>-1.3519999999999588E-2</v>
      </c>
    </row>
    <row r="23" spans="1:20" x14ac:dyDescent="0.2">
      <c r="A23" t="s">
        <v>33</v>
      </c>
      <c r="B23">
        <v>1.47</v>
      </c>
      <c r="C23">
        <f t="shared" si="11"/>
        <v>0.82000000000000006</v>
      </c>
      <c r="D23">
        <f t="shared" si="4"/>
        <v>-2.0000000000000018E-2</v>
      </c>
      <c r="E23">
        <f t="shared" si="5"/>
        <v>0.24310000000000054</v>
      </c>
      <c r="F23" s="30" t="s">
        <v>19</v>
      </c>
      <c r="L23" s="41">
        <f>E45</f>
        <v>0.4231000000000007</v>
      </c>
      <c r="M23" s="41"/>
      <c r="N23" s="28"/>
      <c r="O23" s="62">
        <f t="shared" si="0"/>
        <v>3.0000000000000027E-2</v>
      </c>
      <c r="P23" s="109">
        <f t="shared" si="6"/>
        <v>0.15038999999999958</v>
      </c>
      <c r="Q23" s="64">
        <f t="shared" si="1"/>
        <v>-2.0000000000000018E-2</v>
      </c>
      <c r="R23" s="64">
        <f t="shared" si="10"/>
        <v>0.13686999999999999</v>
      </c>
      <c r="S23" s="71">
        <f t="shared" si="2"/>
        <v>9.2710000000000958E-2</v>
      </c>
      <c r="T23" s="73">
        <f t="shared" si="8"/>
        <v>-1.3519999999999588E-2</v>
      </c>
    </row>
    <row r="24" spans="1:20" x14ac:dyDescent="0.2">
      <c r="A24" s="30" t="s">
        <v>78</v>
      </c>
      <c r="B24" s="30">
        <v>1.5</v>
      </c>
      <c r="C24" s="30">
        <f t="shared" si="11"/>
        <v>0.79</v>
      </c>
      <c r="D24" s="30">
        <f t="shared" si="4"/>
        <v>-5.0000000000000044E-2</v>
      </c>
      <c r="E24" s="30">
        <f t="shared" si="5"/>
        <v>0.21310000000000051</v>
      </c>
      <c r="F24" s="30"/>
      <c r="L24" s="41">
        <f>E46</f>
        <v>0.41310000000000069</v>
      </c>
      <c r="M24" s="41"/>
      <c r="N24" s="28"/>
      <c r="O24" s="62">
        <f t="shared" si="0"/>
        <v>0</v>
      </c>
      <c r="P24" s="109">
        <f t="shared" si="6"/>
        <v>0.12038999999999955</v>
      </c>
      <c r="Q24" s="64">
        <f t="shared" si="1"/>
        <v>-5.0000000000000044E-2</v>
      </c>
      <c r="R24" s="64">
        <f t="shared" si="10"/>
        <v>0.10686999999999997</v>
      </c>
      <c r="S24" s="71">
        <f t="shared" si="2"/>
        <v>9.2710000000000958E-2</v>
      </c>
      <c r="T24" s="73">
        <f t="shared" si="8"/>
        <v>-1.3519999999999588E-2</v>
      </c>
    </row>
    <row r="25" spans="1:20" x14ac:dyDescent="0.2">
      <c r="A25" t="s">
        <v>35</v>
      </c>
      <c r="B25">
        <v>1.48</v>
      </c>
      <c r="C25">
        <f t="shared" si="11"/>
        <v>0.81</v>
      </c>
      <c r="D25">
        <f t="shared" si="4"/>
        <v>-3.0000000000000027E-2</v>
      </c>
      <c r="E25">
        <f t="shared" si="5"/>
        <v>0.23310000000000053</v>
      </c>
      <c r="F25" s="30" t="s">
        <v>19</v>
      </c>
      <c r="L25" s="41">
        <f>E48</f>
        <v>0.36810000000000076</v>
      </c>
      <c r="M25" s="41"/>
      <c r="N25" s="28"/>
      <c r="O25" s="62">
        <f t="shared" si="0"/>
        <v>2.0000000000000018E-2</v>
      </c>
      <c r="P25" s="109">
        <f t="shared" si="6"/>
        <v>0.14038999999999957</v>
      </c>
      <c r="Q25" s="64">
        <f t="shared" si="1"/>
        <v>-3.0000000000000027E-2</v>
      </c>
      <c r="R25" s="64">
        <f t="shared" si="10"/>
        <v>0.12686999999999998</v>
      </c>
      <c r="S25" s="71">
        <f t="shared" si="2"/>
        <v>9.2710000000000958E-2</v>
      </c>
      <c r="T25" s="73">
        <f t="shared" si="8"/>
        <v>-1.3519999999999588E-2</v>
      </c>
    </row>
    <row r="26" spans="1:20" x14ac:dyDescent="0.2">
      <c r="A26" t="s">
        <v>79</v>
      </c>
      <c r="B26">
        <v>1.68</v>
      </c>
      <c r="C26">
        <f t="shared" si="11"/>
        <v>0.6100000000000001</v>
      </c>
      <c r="D26">
        <f t="shared" si="4"/>
        <v>-0.22999999999999998</v>
      </c>
      <c r="E26">
        <f t="shared" si="5"/>
        <v>3.3100000000000573E-2</v>
      </c>
      <c r="F26" s="30" t="s">
        <v>80</v>
      </c>
      <c r="L26" s="41">
        <f t="shared" ref="L26:L27" si="12">E49</f>
        <v>0.34310000000000085</v>
      </c>
      <c r="M26" s="41"/>
      <c r="N26" s="28"/>
      <c r="O26" s="62">
        <f t="shared" si="0"/>
        <v>-0.17999999999999994</v>
      </c>
      <c r="P26" s="109">
        <f t="shared" si="6"/>
        <v>-5.9610000000000385E-2</v>
      </c>
      <c r="Q26" s="64">
        <f t="shared" si="1"/>
        <v>-0.22999999999999998</v>
      </c>
      <c r="R26" s="64">
        <f t="shared" si="10"/>
        <v>-7.3129999999999973E-2</v>
      </c>
      <c r="S26" s="71">
        <f t="shared" si="2"/>
        <v>9.2710000000000958E-2</v>
      </c>
      <c r="T26" s="73">
        <f t="shared" si="8"/>
        <v>-1.3519999999999588E-2</v>
      </c>
    </row>
    <row r="27" spans="1:20" x14ac:dyDescent="0.2">
      <c r="A27" t="s">
        <v>37</v>
      </c>
      <c r="B27">
        <v>1.67</v>
      </c>
      <c r="C27">
        <f t="shared" si="11"/>
        <v>0.62000000000000011</v>
      </c>
      <c r="D27">
        <f t="shared" si="4"/>
        <v>-0.21999999999999997</v>
      </c>
      <c r="E27">
        <f t="shared" si="5"/>
        <v>4.3100000000000582E-2</v>
      </c>
      <c r="L27" s="41">
        <f t="shared" si="12"/>
        <v>0.2981000000000007</v>
      </c>
      <c r="M27" s="41"/>
      <c r="N27" s="28"/>
      <c r="O27" s="62">
        <f t="shared" si="0"/>
        <v>-0.16999999999999993</v>
      </c>
      <c r="P27" s="109">
        <f t="shared" si="6"/>
        <v>-4.9610000000000376E-2</v>
      </c>
      <c r="Q27" s="64">
        <f t="shared" si="1"/>
        <v>-0.21999999999999997</v>
      </c>
      <c r="R27" s="64">
        <f t="shared" si="10"/>
        <v>-6.3129999999999964E-2</v>
      </c>
      <c r="S27" s="71">
        <f t="shared" si="2"/>
        <v>9.2710000000000958E-2</v>
      </c>
      <c r="T27" s="73">
        <f t="shared" si="8"/>
        <v>-1.3519999999999588E-2</v>
      </c>
    </row>
    <row r="28" spans="1:20" x14ac:dyDescent="0.2">
      <c r="A28" t="s">
        <v>79</v>
      </c>
      <c r="B28">
        <v>1.7</v>
      </c>
      <c r="C28">
        <f t="shared" si="11"/>
        <v>0.59000000000000008</v>
      </c>
      <c r="D28">
        <f t="shared" si="4"/>
        <v>-0.25</v>
      </c>
      <c r="E28">
        <f t="shared" si="5"/>
        <v>1.3100000000000556E-2</v>
      </c>
      <c r="N28" s="28"/>
      <c r="O28" s="62">
        <f t="shared" si="0"/>
        <v>-0.19999999999999996</v>
      </c>
      <c r="P28" s="109">
        <f t="shared" si="6"/>
        <v>-7.9610000000000403E-2</v>
      </c>
      <c r="Q28" s="64">
        <f t="shared" si="1"/>
        <v>-0.25</v>
      </c>
      <c r="R28" s="64">
        <f t="shared" si="10"/>
        <v>-9.3129999999999991E-2</v>
      </c>
      <c r="S28" s="71">
        <f t="shared" si="2"/>
        <v>9.2710000000000958E-2</v>
      </c>
      <c r="T28" s="73">
        <f t="shared" si="8"/>
        <v>-1.3519999999999588E-2</v>
      </c>
    </row>
    <row r="29" spans="1:20" x14ac:dyDescent="0.2">
      <c r="A29" t="s">
        <v>81</v>
      </c>
      <c r="B29">
        <v>1.96</v>
      </c>
      <c r="N29" s="28"/>
      <c r="O29" s="62"/>
      <c r="P29" s="109"/>
      <c r="Q29" s="64"/>
      <c r="R29" s="64"/>
      <c r="S29" s="71"/>
      <c r="T29" s="73"/>
    </row>
    <row r="30" spans="1:20" x14ac:dyDescent="0.2">
      <c r="A30" t="s">
        <v>39</v>
      </c>
      <c r="B30">
        <v>1.625</v>
      </c>
      <c r="C30">
        <f>B$29-B30+C$28</f>
        <v>0.92500000000000004</v>
      </c>
      <c r="D30">
        <f t="shared" si="4"/>
        <v>8.4999999999999964E-2</v>
      </c>
      <c r="E30">
        <f t="shared" si="5"/>
        <v>0.34810000000000052</v>
      </c>
      <c r="F30" t="s">
        <v>82</v>
      </c>
      <c r="N30" s="28"/>
      <c r="O30" s="62">
        <f t="shared" si="0"/>
        <v>0.13500000000000001</v>
      </c>
      <c r="P30" s="109">
        <f t="shared" si="6"/>
        <v>0.25538999999999956</v>
      </c>
      <c r="Q30" s="64">
        <f t="shared" si="1"/>
        <v>8.4999999999999964E-2</v>
      </c>
      <c r="R30" s="64">
        <f t="shared" ref="R30:R31" si="13">Q30+AC$2</f>
        <v>0.24186999999999997</v>
      </c>
      <c r="S30" s="71">
        <f t="shared" si="2"/>
        <v>9.2710000000000958E-2</v>
      </c>
      <c r="T30" s="73">
        <f t="shared" si="8"/>
        <v>-1.3519999999999588E-2</v>
      </c>
    </row>
    <row r="31" spans="1:20" x14ac:dyDescent="0.2">
      <c r="A31" t="s">
        <v>40</v>
      </c>
      <c r="B31">
        <v>1.52</v>
      </c>
      <c r="C31">
        <f>B$29-B31+C$28</f>
        <v>1.03</v>
      </c>
      <c r="D31">
        <f t="shared" si="4"/>
        <v>0.18999999999999995</v>
      </c>
      <c r="E31">
        <f t="shared" si="5"/>
        <v>0.4531000000000005</v>
      </c>
      <c r="F31" s="41" t="s">
        <v>83</v>
      </c>
      <c r="G31" s="41"/>
      <c r="H31" s="41"/>
      <c r="I31" s="41"/>
      <c r="J31" s="41"/>
      <c r="K31" s="41"/>
      <c r="N31" s="28"/>
      <c r="O31" s="62">
        <f t="shared" si="0"/>
        <v>0.24</v>
      </c>
      <c r="P31" s="109">
        <f t="shared" si="6"/>
        <v>0.36038999999999954</v>
      </c>
      <c r="Q31" s="64">
        <f t="shared" si="1"/>
        <v>0.18999999999999995</v>
      </c>
      <c r="R31" s="64">
        <f t="shared" si="13"/>
        <v>0.34686999999999996</v>
      </c>
      <c r="S31" s="71">
        <f t="shared" si="2"/>
        <v>9.2710000000000958E-2</v>
      </c>
      <c r="T31" s="73">
        <f t="shared" si="8"/>
        <v>-1.3519999999999588E-2</v>
      </c>
    </row>
    <row r="32" spans="1:20" x14ac:dyDescent="0.2">
      <c r="A32" t="s">
        <v>42</v>
      </c>
      <c r="B32">
        <v>1.335</v>
      </c>
      <c r="N32" s="28"/>
      <c r="O32" s="62"/>
      <c r="P32" s="109"/>
      <c r="Q32" s="64"/>
      <c r="R32" s="64"/>
      <c r="S32" s="71"/>
      <c r="T32" s="73"/>
    </row>
    <row r="33" spans="1:20" x14ac:dyDescent="0.2">
      <c r="A33" t="s">
        <v>49</v>
      </c>
      <c r="B33">
        <v>1.365</v>
      </c>
      <c r="C33">
        <f>B32-B33+C31</f>
        <v>1</v>
      </c>
      <c r="D33">
        <f t="shared" si="4"/>
        <v>0.15999999999999992</v>
      </c>
      <c r="E33">
        <f t="shared" si="5"/>
        <v>0.42310000000000048</v>
      </c>
      <c r="F33" s="41" t="s">
        <v>84</v>
      </c>
      <c r="G33" s="41"/>
      <c r="H33" s="41"/>
      <c r="I33" s="41"/>
      <c r="J33" s="41"/>
      <c r="K33" s="41"/>
      <c r="N33" s="28"/>
      <c r="O33" s="62">
        <f t="shared" si="0"/>
        <v>0.20999999999999996</v>
      </c>
      <c r="P33" s="109">
        <f t="shared" si="6"/>
        <v>0.33038999999999952</v>
      </c>
      <c r="Q33" s="64">
        <f t="shared" si="1"/>
        <v>0.15999999999999992</v>
      </c>
      <c r="R33" s="64">
        <f t="shared" ref="R33:R35" si="14">Q33+AC$2</f>
        <v>0.31686999999999993</v>
      </c>
      <c r="S33" s="71">
        <f t="shared" si="2"/>
        <v>9.2710000000000958E-2</v>
      </c>
      <c r="T33" s="73">
        <f t="shared" si="8"/>
        <v>-1.3519999999999588E-2</v>
      </c>
    </row>
    <row r="34" spans="1:20" x14ac:dyDescent="0.2">
      <c r="A34" t="s">
        <v>85</v>
      </c>
      <c r="B34">
        <v>1.6</v>
      </c>
      <c r="N34" s="28"/>
      <c r="O34" s="62">
        <f t="shared" si="0"/>
        <v>-0.79</v>
      </c>
      <c r="P34" s="109">
        <f t="shared" si="6"/>
        <v>-0.66961000000000048</v>
      </c>
      <c r="Q34" s="64">
        <f t="shared" si="1"/>
        <v>-0.84000000000000008</v>
      </c>
      <c r="R34" s="64">
        <f t="shared" si="14"/>
        <v>-0.68313000000000001</v>
      </c>
      <c r="S34" s="71">
        <f t="shared" si="2"/>
        <v>0.66961000000000048</v>
      </c>
      <c r="T34" s="73">
        <f t="shared" si="8"/>
        <v>-1.3519999999999532E-2</v>
      </c>
    </row>
    <row r="35" spans="1:20" x14ac:dyDescent="0.2">
      <c r="A35" t="s">
        <v>51</v>
      </c>
      <c r="B35">
        <v>1.615</v>
      </c>
      <c r="C35">
        <f>B34-B35+C33</f>
        <v>0.9850000000000001</v>
      </c>
      <c r="D35">
        <f t="shared" si="4"/>
        <v>0.14500000000000002</v>
      </c>
      <c r="E35">
        <f t="shared" si="5"/>
        <v>0.40810000000000057</v>
      </c>
      <c r="F35" s="41" t="s">
        <v>86</v>
      </c>
      <c r="G35" s="41"/>
      <c r="H35" s="41"/>
      <c r="I35" s="41"/>
      <c r="J35" s="41"/>
      <c r="K35" s="41"/>
      <c r="N35" s="28"/>
      <c r="O35" s="62">
        <f t="shared" si="0"/>
        <v>0.19500000000000006</v>
      </c>
      <c r="P35" s="109">
        <f t="shared" ref="P35" si="15">O35+W$2</f>
        <v>0.31538999999999962</v>
      </c>
      <c r="Q35" s="64">
        <f t="shared" si="1"/>
        <v>0.14500000000000002</v>
      </c>
      <c r="R35" s="64">
        <f t="shared" si="14"/>
        <v>0.30187000000000003</v>
      </c>
      <c r="S35" s="71">
        <f t="shared" si="2"/>
        <v>9.2710000000000958E-2</v>
      </c>
      <c r="T35" s="73">
        <f t="shared" si="8"/>
        <v>-1.3519999999999588E-2</v>
      </c>
    </row>
    <row r="36" spans="1:20" x14ac:dyDescent="0.2">
      <c r="A36" t="s">
        <v>87</v>
      </c>
      <c r="B36">
        <v>1.55</v>
      </c>
      <c r="N36" s="28"/>
      <c r="O36" s="62"/>
      <c r="P36" s="109"/>
      <c r="Q36" s="64"/>
      <c r="R36" s="64"/>
      <c r="S36" s="71"/>
      <c r="T36" s="73"/>
    </row>
    <row r="37" spans="1:20" x14ac:dyDescent="0.2">
      <c r="A37" t="s">
        <v>88</v>
      </c>
      <c r="B37">
        <v>1.56</v>
      </c>
      <c r="C37">
        <f>B36-B37+C35</f>
        <v>0.97500000000000009</v>
      </c>
      <c r="D37">
        <f t="shared" si="4"/>
        <v>0.13500000000000001</v>
      </c>
      <c r="E37">
        <f t="shared" si="5"/>
        <v>0.39810000000000056</v>
      </c>
      <c r="N37" s="28"/>
      <c r="O37" s="62">
        <f t="shared" si="0"/>
        <v>0.18500000000000005</v>
      </c>
      <c r="P37" s="109">
        <f t="shared" ref="P37:P38" si="16">O37+W$2</f>
        <v>0.30538999999999961</v>
      </c>
      <c r="Q37" s="64">
        <f t="shared" si="1"/>
        <v>0.13500000000000001</v>
      </c>
      <c r="R37" s="64">
        <f t="shared" ref="R37:R38" si="17">Q37+AC$2</f>
        <v>0.29187000000000002</v>
      </c>
      <c r="S37" s="71">
        <f t="shared" si="2"/>
        <v>9.2710000000000958E-2</v>
      </c>
      <c r="T37" s="73">
        <f t="shared" si="8"/>
        <v>-1.3519999999999588E-2</v>
      </c>
    </row>
    <row r="38" spans="1:20" x14ac:dyDescent="0.2">
      <c r="A38" t="s">
        <v>89</v>
      </c>
      <c r="B38">
        <v>1.57</v>
      </c>
      <c r="C38">
        <f>B36-B38+C35</f>
        <v>0.96500000000000008</v>
      </c>
      <c r="D38">
        <f t="shared" si="4"/>
        <v>0.125</v>
      </c>
      <c r="E38">
        <f t="shared" si="5"/>
        <v>0.38810000000000056</v>
      </c>
      <c r="F38" s="41" t="s">
        <v>90</v>
      </c>
      <c r="G38" s="41"/>
      <c r="H38" s="41"/>
      <c r="I38" s="41"/>
      <c r="J38" s="41"/>
      <c r="K38" s="41"/>
      <c r="N38" s="28"/>
      <c r="O38" s="62">
        <f t="shared" si="0"/>
        <v>0.17500000000000004</v>
      </c>
      <c r="P38" s="109">
        <f t="shared" si="16"/>
        <v>0.2953899999999996</v>
      </c>
      <c r="Q38" s="64">
        <f t="shared" si="1"/>
        <v>0.125</v>
      </c>
      <c r="R38" s="64">
        <f t="shared" si="17"/>
        <v>0.28187000000000001</v>
      </c>
      <c r="S38" s="71">
        <f t="shared" si="2"/>
        <v>9.2710000000000958E-2</v>
      </c>
      <c r="T38" s="73">
        <f t="shared" si="8"/>
        <v>-1.3519999999999588E-2</v>
      </c>
    </row>
    <row r="39" spans="1:20" x14ac:dyDescent="0.2">
      <c r="A39" t="s">
        <v>55</v>
      </c>
      <c r="B39">
        <v>1.66</v>
      </c>
      <c r="N39" s="28"/>
      <c r="O39" s="62"/>
      <c r="P39" s="109"/>
      <c r="Q39" s="64"/>
      <c r="R39" s="64"/>
      <c r="S39" s="71"/>
      <c r="T39" s="73"/>
    </row>
    <row r="40" spans="1:20" x14ac:dyDescent="0.2">
      <c r="A40" t="s">
        <v>57</v>
      </c>
      <c r="B40">
        <v>1.645</v>
      </c>
      <c r="C40">
        <f>B39-B40+C38</f>
        <v>0.98</v>
      </c>
      <c r="D40">
        <f t="shared" si="4"/>
        <v>0.1399999999999999</v>
      </c>
      <c r="E40">
        <f t="shared" si="5"/>
        <v>0.40310000000000046</v>
      </c>
      <c r="F40" s="41" t="s">
        <v>91</v>
      </c>
      <c r="G40" s="41"/>
      <c r="H40" s="41"/>
      <c r="I40" s="41"/>
      <c r="J40" s="41"/>
      <c r="K40" s="41"/>
      <c r="N40" s="28"/>
      <c r="O40" s="62">
        <f t="shared" si="0"/>
        <v>0.18999999999999995</v>
      </c>
      <c r="P40" s="109">
        <f t="shared" ref="P40:P41" si="18">O40+W$2</f>
        <v>0.3103899999999995</v>
      </c>
      <c r="Q40" s="64">
        <f t="shared" si="1"/>
        <v>0.1399999999999999</v>
      </c>
      <c r="R40" s="64">
        <f t="shared" ref="R40:R41" si="19">Q40+AC$2</f>
        <v>0.29686999999999991</v>
      </c>
      <c r="S40" s="71">
        <f t="shared" si="2"/>
        <v>9.2710000000000958E-2</v>
      </c>
      <c r="T40" s="73">
        <f t="shared" si="8"/>
        <v>-1.3519999999999588E-2</v>
      </c>
    </row>
    <row r="41" spans="1:20" x14ac:dyDescent="0.2">
      <c r="A41" t="s">
        <v>60</v>
      </c>
      <c r="B41">
        <v>1.635</v>
      </c>
      <c r="C41">
        <f>B39-B41+C38</f>
        <v>0.99</v>
      </c>
      <c r="D41">
        <f t="shared" si="4"/>
        <v>0.14999999999999991</v>
      </c>
      <c r="E41">
        <f t="shared" si="5"/>
        <v>0.41310000000000047</v>
      </c>
      <c r="F41" s="41" t="s">
        <v>92</v>
      </c>
      <c r="G41" s="41"/>
      <c r="H41" s="41"/>
      <c r="I41" s="41"/>
      <c r="J41" s="41"/>
      <c r="K41" s="41"/>
      <c r="N41" s="28"/>
      <c r="O41" s="62">
        <f t="shared" si="0"/>
        <v>0.19999999999999996</v>
      </c>
      <c r="P41" s="109">
        <f t="shared" si="18"/>
        <v>0.32038999999999951</v>
      </c>
      <c r="Q41" s="64">
        <f t="shared" si="1"/>
        <v>0.14999999999999991</v>
      </c>
      <c r="R41" s="64">
        <f t="shared" si="19"/>
        <v>0.30686999999999992</v>
      </c>
      <c r="S41" s="71">
        <f t="shared" si="2"/>
        <v>9.2710000000000958E-2</v>
      </c>
      <c r="T41" s="73">
        <f t="shared" si="8"/>
        <v>-1.3519999999999588E-2</v>
      </c>
    </row>
    <row r="42" spans="1:20" x14ac:dyDescent="0.2">
      <c r="A42" t="s">
        <v>93</v>
      </c>
      <c r="B42">
        <v>1.62</v>
      </c>
      <c r="N42" s="28"/>
      <c r="O42" s="62"/>
      <c r="P42" s="109"/>
      <c r="Q42" s="64"/>
      <c r="R42" s="64"/>
      <c r="S42" s="71"/>
      <c r="T42" s="73"/>
    </row>
    <row r="43" spans="1:20" x14ac:dyDescent="0.2">
      <c r="A43" t="s">
        <v>79</v>
      </c>
      <c r="B43">
        <v>1.63</v>
      </c>
      <c r="C43">
        <f>B42-B43+C41</f>
        <v>0.9800000000000002</v>
      </c>
      <c r="D43">
        <f t="shared" si="4"/>
        <v>0.14000000000000012</v>
      </c>
      <c r="E43">
        <f t="shared" si="5"/>
        <v>0.40310000000000068</v>
      </c>
      <c r="N43" s="28"/>
      <c r="O43" s="62">
        <f t="shared" si="0"/>
        <v>0.19000000000000017</v>
      </c>
      <c r="P43" s="109">
        <f t="shared" ref="P43" si="20">O43+W$2</f>
        <v>0.31038999999999972</v>
      </c>
      <c r="Q43" s="64">
        <f t="shared" si="1"/>
        <v>0.14000000000000012</v>
      </c>
      <c r="R43" s="64">
        <f>Q43+AC$2</f>
        <v>0.29687000000000013</v>
      </c>
      <c r="S43" s="71">
        <f t="shared" si="2"/>
        <v>9.2710000000000958E-2</v>
      </c>
      <c r="T43" s="73">
        <f t="shared" si="8"/>
        <v>-1.3519999999999588E-2</v>
      </c>
    </row>
    <row r="44" spans="1:20" x14ac:dyDescent="0.2">
      <c r="A44" t="s">
        <v>81</v>
      </c>
      <c r="B44">
        <v>1.43</v>
      </c>
      <c r="N44" s="28"/>
      <c r="O44" s="62"/>
      <c r="P44" s="109"/>
      <c r="Q44" s="64"/>
      <c r="R44" s="64"/>
      <c r="S44" s="71"/>
      <c r="T44" s="73"/>
    </row>
    <row r="45" spans="1:20" x14ac:dyDescent="0.2">
      <c r="A45" t="s">
        <v>62</v>
      </c>
      <c r="B45">
        <v>1.41</v>
      </c>
      <c r="C45">
        <f>B44-B45+C43</f>
        <v>1.0000000000000002</v>
      </c>
      <c r="D45">
        <f t="shared" si="4"/>
        <v>0.16000000000000014</v>
      </c>
      <c r="E45">
        <f t="shared" si="5"/>
        <v>0.4231000000000007</v>
      </c>
      <c r="F45" s="41" t="s">
        <v>94</v>
      </c>
      <c r="G45" s="41"/>
      <c r="H45" s="41"/>
      <c r="I45" s="41"/>
      <c r="J45" s="41"/>
      <c r="K45" s="41"/>
      <c r="N45" s="28"/>
      <c r="O45" s="62">
        <f t="shared" si="0"/>
        <v>0.21000000000000019</v>
      </c>
      <c r="P45" s="109">
        <f t="shared" ref="P45:P46" si="21">O45+W$2</f>
        <v>0.33038999999999974</v>
      </c>
      <c r="Q45" s="64">
        <f t="shared" si="1"/>
        <v>0.16000000000000014</v>
      </c>
      <c r="R45" s="64">
        <f t="shared" ref="R45:R46" si="22">Q45+AC$2</f>
        <v>0.31687000000000015</v>
      </c>
      <c r="S45" s="71">
        <f t="shared" si="2"/>
        <v>9.2710000000000958E-2</v>
      </c>
      <c r="T45" s="73">
        <f t="shared" si="8"/>
        <v>-1.3519999999999588E-2</v>
      </c>
    </row>
    <row r="46" spans="1:20" x14ac:dyDescent="0.2">
      <c r="A46" t="s">
        <v>95</v>
      </c>
      <c r="B46">
        <v>1.42</v>
      </c>
      <c r="C46">
        <f>B44-B46+C43</f>
        <v>0.99000000000000021</v>
      </c>
      <c r="D46">
        <f t="shared" si="4"/>
        <v>0.15000000000000013</v>
      </c>
      <c r="E46">
        <f t="shared" si="5"/>
        <v>0.41310000000000069</v>
      </c>
      <c r="F46" s="41" t="s">
        <v>96</v>
      </c>
      <c r="G46" s="41"/>
      <c r="H46" s="41"/>
      <c r="I46" s="41"/>
      <c r="J46" s="41"/>
      <c r="K46" s="41"/>
      <c r="N46" s="28"/>
      <c r="O46" s="62">
        <f t="shared" si="0"/>
        <v>0.20000000000000018</v>
      </c>
      <c r="P46" s="109">
        <f t="shared" si="21"/>
        <v>0.32038999999999973</v>
      </c>
      <c r="Q46" s="64">
        <f t="shared" si="1"/>
        <v>0.15000000000000013</v>
      </c>
      <c r="R46" s="64">
        <f t="shared" si="22"/>
        <v>0.30687000000000014</v>
      </c>
      <c r="S46" s="71">
        <f t="shared" si="2"/>
        <v>9.2710000000000958E-2</v>
      </c>
      <c r="T46" s="73">
        <f t="shared" si="8"/>
        <v>-1.3519999999999588E-2</v>
      </c>
    </row>
    <row r="47" spans="1:20" x14ac:dyDescent="0.2">
      <c r="A47" t="s">
        <v>97</v>
      </c>
      <c r="B47">
        <v>1.4550000000000001</v>
      </c>
      <c r="N47" s="28"/>
      <c r="O47" s="62"/>
      <c r="P47" s="109"/>
      <c r="Q47" s="64"/>
      <c r="R47" s="64"/>
      <c r="S47" s="71"/>
      <c r="T47" s="73"/>
    </row>
    <row r="48" spans="1:20" x14ac:dyDescent="0.2">
      <c r="A48" t="s">
        <v>98</v>
      </c>
      <c r="B48">
        <v>1.5</v>
      </c>
      <c r="C48">
        <f>B$47-B48+C$46</f>
        <v>0.94500000000000028</v>
      </c>
      <c r="D48">
        <f t="shared" si="4"/>
        <v>0.1050000000000002</v>
      </c>
      <c r="E48">
        <f t="shared" si="5"/>
        <v>0.36810000000000076</v>
      </c>
      <c r="F48" s="41" t="s">
        <v>19</v>
      </c>
      <c r="G48" s="41"/>
      <c r="H48" s="41"/>
      <c r="I48" s="41"/>
      <c r="J48" s="41"/>
      <c r="K48" s="41"/>
      <c r="N48" s="28"/>
      <c r="O48" s="62">
        <f t="shared" si="0"/>
        <v>0.15500000000000025</v>
      </c>
      <c r="P48" s="109">
        <f t="shared" ref="P48:P52" si="23">O48+W$2</f>
        <v>0.2753899999999998</v>
      </c>
      <c r="Q48" s="64">
        <f t="shared" si="1"/>
        <v>0.1050000000000002</v>
      </c>
      <c r="R48" s="64">
        <f t="shared" ref="R48:R52" si="24">Q48+AC$2</f>
        <v>0.26187000000000021</v>
      </c>
      <c r="S48" s="71">
        <f t="shared" si="2"/>
        <v>9.2710000000000958E-2</v>
      </c>
      <c r="T48" s="73">
        <f t="shared" si="8"/>
        <v>-1.3519999999999588E-2</v>
      </c>
    </row>
    <row r="49" spans="1:20" x14ac:dyDescent="0.2">
      <c r="A49" t="s">
        <v>99</v>
      </c>
      <c r="B49">
        <v>1.5249999999999999</v>
      </c>
      <c r="C49">
        <f t="shared" ref="C49:C52" si="25">B$47-B49+C$46</f>
        <v>0.92000000000000037</v>
      </c>
      <c r="D49">
        <f t="shared" si="4"/>
        <v>8.0000000000000293E-2</v>
      </c>
      <c r="E49">
        <f t="shared" si="5"/>
        <v>0.34310000000000085</v>
      </c>
      <c r="F49" s="41" t="s">
        <v>19</v>
      </c>
      <c r="G49" s="41"/>
      <c r="H49" s="41"/>
      <c r="I49" s="41"/>
      <c r="J49" s="41"/>
      <c r="K49" s="41"/>
      <c r="N49" s="28"/>
      <c r="O49" s="62">
        <f t="shared" si="0"/>
        <v>0.13000000000000034</v>
      </c>
      <c r="P49" s="109">
        <f t="shared" si="23"/>
        <v>0.25038999999999989</v>
      </c>
      <c r="Q49" s="64">
        <f t="shared" si="1"/>
        <v>8.0000000000000293E-2</v>
      </c>
      <c r="R49" s="64">
        <f t="shared" si="24"/>
        <v>0.2368700000000003</v>
      </c>
      <c r="S49" s="71">
        <f t="shared" si="2"/>
        <v>9.2710000000000958E-2</v>
      </c>
      <c r="T49" s="73">
        <f t="shared" si="8"/>
        <v>-1.3519999999999588E-2</v>
      </c>
    </row>
    <row r="50" spans="1:20" x14ac:dyDescent="0.2">
      <c r="A50" t="s">
        <v>100</v>
      </c>
      <c r="B50">
        <v>1.57</v>
      </c>
      <c r="C50">
        <f t="shared" si="25"/>
        <v>0.87500000000000022</v>
      </c>
      <c r="D50">
        <f t="shared" si="4"/>
        <v>3.5000000000000142E-2</v>
      </c>
      <c r="E50">
        <f t="shared" si="5"/>
        <v>0.2981000000000007</v>
      </c>
      <c r="F50" s="41" t="s">
        <v>101</v>
      </c>
      <c r="G50" s="41"/>
      <c r="H50" s="41"/>
      <c r="I50" s="41"/>
      <c r="J50" s="41"/>
      <c r="K50" s="41"/>
      <c r="N50" s="28"/>
      <c r="O50" s="62">
        <f t="shared" si="0"/>
        <v>8.5000000000000187E-2</v>
      </c>
      <c r="P50" s="109">
        <f t="shared" si="23"/>
        <v>0.20538999999999974</v>
      </c>
      <c r="Q50" s="64">
        <f t="shared" si="1"/>
        <v>3.5000000000000142E-2</v>
      </c>
      <c r="R50" s="64">
        <f t="shared" si="24"/>
        <v>0.19187000000000015</v>
      </c>
      <c r="S50" s="71">
        <f t="shared" si="2"/>
        <v>9.2710000000000958E-2</v>
      </c>
      <c r="T50" s="73">
        <f t="shared" si="8"/>
        <v>-1.3519999999999588E-2</v>
      </c>
    </row>
    <row r="51" spans="1:20" x14ac:dyDescent="0.2">
      <c r="A51" t="s">
        <v>102</v>
      </c>
      <c r="B51">
        <v>1.865</v>
      </c>
      <c r="C51">
        <f t="shared" si="25"/>
        <v>0.58000000000000029</v>
      </c>
      <c r="D51">
        <f t="shared" si="4"/>
        <v>-0.25999999999999979</v>
      </c>
      <c r="E51">
        <f t="shared" si="5"/>
        <v>3.1000000000007688E-3</v>
      </c>
      <c r="F51" t="s">
        <v>103</v>
      </c>
      <c r="N51" s="28"/>
      <c r="O51" s="62">
        <f t="shared" si="0"/>
        <v>-0.20999999999999974</v>
      </c>
      <c r="P51" s="109">
        <f t="shared" si="23"/>
        <v>-8.961000000000019E-2</v>
      </c>
      <c r="Q51" s="64">
        <f t="shared" si="1"/>
        <v>-0.25999999999999979</v>
      </c>
      <c r="R51" s="64">
        <f t="shared" si="24"/>
        <v>-0.10312999999999978</v>
      </c>
      <c r="S51" s="71">
        <f t="shared" si="2"/>
        <v>9.2710000000000958E-2</v>
      </c>
      <c r="T51" s="73">
        <f t="shared" si="8"/>
        <v>-1.3519999999999588E-2</v>
      </c>
    </row>
    <row r="52" spans="1:20" x14ac:dyDescent="0.2">
      <c r="A52" t="s">
        <v>104</v>
      </c>
      <c r="B52">
        <v>1.45</v>
      </c>
      <c r="C52" s="37">
        <f t="shared" si="25"/>
        <v>0.99500000000000033</v>
      </c>
      <c r="D52" s="30">
        <f t="shared" si="4"/>
        <v>0.15500000000000025</v>
      </c>
      <c r="E52" s="30">
        <f t="shared" si="5"/>
        <v>0.4181000000000008</v>
      </c>
      <c r="N52" s="28"/>
      <c r="O52" s="62">
        <f t="shared" si="0"/>
        <v>0.20500000000000029</v>
      </c>
      <c r="P52" s="109">
        <f t="shared" si="23"/>
        <v>0.32538999999999985</v>
      </c>
      <c r="Q52" s="64">
        <f t="shared" si="1"/>
        <v>0.15500000000000025</v>
      </c>
      <c r="R52" s="64">
        <f t="shared" si="24"/>
        <v>0.31187000000000026</v>
      </c>
      <c r="S52" s="71">
        <f t="shared" si="2"/>
        <v>9.2710000000000958E-2</v>
      </c>
      <c r="T52" s="73">
        <f t="shared" si="8"/>
        <v>-1.3519999999999588E-2</v>
      </c>
    </row>
    <row r="53" spans="1:20" x14ac:dyDescent="0.2">
      <c r="N53" s="28"/>
      <c r="O53" s="28"/>
      <c r="P53" s="28"/>
      <c r="Q53" s="28"/>
      <c r="R53" s="28"/>
    </row>
    <row r="54" spans="1:20" x14ac:dyDescent="0.2">
      <c r="N54" s="58"/>
      <c r="O54" s="28"/>
      <c r="P54" s="28"/>
      <c r="Q54" s="28"/>
      <c r="R54" s="28"/>
    </row>
    <row r="55" spans="1:20" x14ac:dyDescent="0.2">
      <c r="A55" s="5" t="s">
        <v>463</v>
      </c>
      <c r="N55" s="28"/>
      <c r="O55" s="67" t="s">
        <v>602</v>
      </c>
      <c r="P55" s="28"/>
      <c r="Q55" s="28"/>
      <c r="R55" s="28"/>
    </row>
    <row r="56" spans="1:20" x14ac:dyDescent="0.2">
      <c r="A56" t="s">
        <v>81</v>
      </c>
      <c r="B56">
        <f>SUM(B6,B13,B29,B32,B34,B36,B39,B42,B44,B47)</f>
        <v>16.450000000000003</v>
      </c>
      <c r="N56" s="28"/>
      <c r="O56" s="28" t="s">
        <v>600</v>
      </c>
      <c r="P56" s="28"/>
      <c r="Q56" s="28"/>
      <c r="R56" s="28"/>
      <c r="S56">
        <f>(R7-E7)*100</f>
        <v>-10.623000000000054</v>
      </c>
    </row>
    <row r="57" spans="1:20" x14ac:dyDescent="0.2">
      <c r="A57" t="s">
        <v>79</v>
      </c>
      <c r="B57">
        <f>SUM(B12,B28,B31,B33,B35,B38,B41,B43,B46,B52)</f>
        <v>15.455</v>
      </c>
      <c r="N57" s="28"/>
      <c r="O57" s="28" t="s">
        <v>601</v>
      </c>
      <c r="P57" s="28"/>
      <c r="Q57" s="28"/>
      <c r="R57" s="28"/>
      <c r="S57" s="98">
        <f>(P7-E7)*100</f>
        <v>-9.2710000000000967</v>
      </c>
    </row>
    <row r="58" spans="1:20" x14ac:dyDescent="0.2">
      <c r="A58" t="s">
        <v>462</v>
      </c>
      <c r="B58" s="37">
        <f>B56-B57</f>
        <v>0.99500000000000277</v>
      </c>
      <c r="N58" s="28"/>
      <c r="O58" s="28"/>
      <c r="P58" s="28"/>
      <c r="Q58" s="28"/>
      <c r="R58" s="28"/>
    </row>
  </sheetData>
  <conditionalFormatting sqref="A6:A52 A55">
    <cfRule type="containsText" dxfId="2" priority="1" operator="containsText" text="BS">
      <formula>NOT(ISERROR(SEARCH("BS",A6)))</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7CF9C-3463-3A45-8EAA-4C970058A3A2}">
  <sheetPr>
    <tabColor rgb="FFFF7E79"/>
  </sheetPr>
  <dimension ref="A1:T40"/>
  <sheetViews>
    <sheetView workbookViewId="0">
      <selection activeCell="I33" sqref="I33"/>
    </sheetView>
  </sheetViews>
  <sheetFormatPr baseColWidth="10" defaultColWidth="11" defaultRowHeight="16" x14ac:dyDescent="0.2"/>
  <cols>
    <col min="1" max="1" width="13.5" customWidth="1"/>
    <col min="2" max="2" width="11.1640625" customWidth="1"/>
    <col min="3" max="3" width="12.33203125" customWidth="1"/>
    <col min="4" max="4" width="23" bestFit="1" customWidth="1"/>
    <col min="5" max="5" width="20.5" bestFit="1" customWidth="1"/>
    <col min="6" max="6" width="96" customWidth="1"/>
    <col min="7" max="7" width="20.6640625" bestFit="1" customWidth="1"/>
    <col min="9" max="9" width="14.1640625" bestFit="1" customWidth="1"/>
    <col min="10" max="10" width="13.6640625" bestFit="1" customWidth="1"/>
    <col min="11" max="11" width="12" bestFit="1" customWidth="1"/>
    <col min="12" max="12" width="17" bestFit="1" customWidth="1"/>
    <col min="15" max="15" width="14.1640625" bestFit="1" customWidth="1"/>
    <col min="17" max="17" width="13.6640625" bestFit="1" customWidth="1"/>
  </cols>
  <sheetData>
    <row r="1" spans="1:20" x14ac:dyDescent="0.2">
      <c r="A1" t="s">
        <v>0</v>
      </c>
      <c r="B1" t="s">
        <v>105</v>
      </c>
      <c r="F1" s="36" t="s">
        <v>482</v>
      </c>
      <c r="G1" s="36"/>
      <c r="H1" s="36"/>
      <c r="I1" s="32" t="s">
        <v>481</v>
      </c>
      <c r="J1" s="32" t="s">
        <v>465</v>
      </c>
      <c r="K1" s="32" t="s">
        <v>464</v>
      </c>
      <c r="L1" s="32" t="s">
        <v>467</v>
      </c>
      <c r="M1" s="33"/>
      <c r="O1" s="32" t="s">
        <v>485</v>
      </c>
      <c r="P1" s="32" t="s">
        <v>465</v>
      </c>
      <c r="Q1" s="32" t="s">
        <v>464</v>
      </c>
      <c r="R1" s="32" t="s">
        <v>467</v>
      </c>
      <c r="S1" s="39"/>
      <c r="T1" s="30"/>
    </row>
    <row r="2" spans="1:20" x14ac:dyDescent="0.2">
      <c r="A2" t="s">
        <v>2</v>
      </c>
      <c r="B2" t="s">
        <v>106</v>
      </c>
      <c r="G2" s="36"/>
      <c r="H2" s="36"/>
      <c r="J2" s="35">
        <v>-4.4619999999999997</v>
      </c>
      <c r="K2" s="35">
        <v>-4.6188700000000003</v>
      </c>
      <c r="L2" s="35">
        <v>0.15687000000000001</v>
      </c>
      <c r="P2" s="35">
        <v>-4.4230499999999999</v>
      </c>
      <c r="Q2" s="35">
        <v>-4.6291000000000002</v>
      </c>
      <c r="R2" s="35">
        <v>0.20605000000000001</v>
      </c>
      <c r="S2" s="30"/>
      <c r="T2" s="30"/>
    </row>
    <row r="3" spans="1:20" x14ac:dyDescent="0.2">
      <c r="A3" t="s">
        <v>4</v>
      </c>
      <c r="B3" t="s">
        <v>107</v>
      </c>
      <c r="F3" s="36" t="s">
        <v>510</v>
      </c>
    </row>
    <row r="4" spans="1:20" x14ac:dyDescent="0.2">
      <c r="I4" s="28"/>
      <c r="J4" s="28"/>
    </row>
    <row r="5" spans="1:20" x14ac:dyDescent="0.2">
      <c r="A5" t="s">
        <v>6</v>
      </c>
      <c r="B5" t="s">
        <v>7</v>
      </c>
      <c r="C5" t="s">
        <v>8</v>
      </c>
      <c r="D5" t="s">
        <v>505</v>
      </c>
      <c r="E5" t="s">
        <v>480</v>
      </c>
      <c r="F5" t="s">
        <v>9</v>
      </c>
      <c r="G5" s="40" t="s">
        <v>474</v>
      </c>
      <c r="H5" s="41"/>
      <c r="I5" s="59"/>
      <c r="J5" s="59"/>
      <c r="L5" s="35"/>
    </row>
    <row r="6" spans="1:20" x14ac:dyDescent="0.2">
      <c r="A6" s="29" t="s">
        <v>10</v>
      </c>
      <c r="B6">
        <v>2.1</v>
      </c>
      <c r="C6" s="3"/>
      <c r="D6" s="3"/>
      <c r="E6" s="3"/>
      <c r="F6" t="s">
        <v>108</v>
      </c>
      <c r="G6" s="40" t="s">
        <v>484</v>
      </c>
      <c r="H6" s="41"/>
      <c r="I6" s="28"/>
      <c r="J6" s="28"/>
    </row>
    <row r="7" spans="1:20" x14ac:dyDescent="0.2">
      <c r="A7" t="s">
        <v>12</v>
      </c>
      <c r="B7">
        <v>1.86</v>
      </c>
      <c r="C7" s="3">
        <f>B$6-B7</f>
        <v>0.24</v>
      </c>
      <c r="D7" s="3">
        <f>C7-C$32</f>
        <v>-0.24000000000000021</v>
      </c>
      <c r="E7" s="3">
        <f>D7+R$2</f>
        <v>-3.3950000000000202E-2</v>
      </c>
      <c r="F7" t="s">
        <v>109</v>
      </c>
      <c r="G7" s="41"/>
      <c r="H7" s="41"/>
      <c r="I7" s="28"/>
      <c r="J7" s="28"/>
    </row>
    <row r="8" spans="1:20" x14ac:dyDescent="0.2">
      <c r="A8" t="s">
        <v>14</v>
      </c>
      <c r="B8">
        <v>1.59</v>
      </c>
      <c r="C8" s="3">
        <f t="shared" ref="C8:C14" si="0">B$6-B8</f>
        <v>0.51</v>
      </c>
      <c r="D8" s="3">
        <f t="shared" ref="D8:D35" si="1">C8-C$32</f>
        <v>2.9999999999999805E-2</v>
      </c>
      <c r="E8" s="3">
        <f t="shared" ref="E8:E35" si="2">D8+R$2</f>
        <v>0.23604999999999982</v>
      </c>
      <c r="F8" t="s">
        <v>110</v>
      </c>
      <c r="G8" s="41"/>
      <c r="H8" s="41"/>
      <c r="I8" s="28"/>
      <c r="J8" s="28"/>
    </row>
    <row r="9" spans="1:20" x14ac:dyDescent="0.2">
      <c r="A9" t="s">
        <v>16</v>
      </c>
      <c r="B9">
        <v>1.49</v>
      </c>
      <c r="C9" s="3">
        <f t="shared" si="0"/>
        <v>0.6100000000000001</v>
      </c>
      <c r="D9" s="3">
        <f t="shared" si="1"/>
        <v>0.12999999999999989</v>
      </c>
      <c r="E9" s="3">
        <f t="shared" si="2"/>
        <v>0.3360499999999999</v>
      </c>
      <c r="F9" t="s">
        <v>509</v>
      </c>
      <c r="G9" s="41"/>
      <c r="H9" s="41"/>
      <c r="I9" s="28"/>
      <c r="J9" s="28"/>
    </row>
    <row r="10" spans="1:20" x14ac:dyDescent="0.2">
      <c r="A10" t="s">
        <v>18</v>
      </c>
      <c r="B10">
        <v>1.47</v>
      </c>
      <c r="C10" s="3">
        <f t="shared" si="0"/>
        <v>0.63000000000000012</v>
      </c>
      <c r="D10" s="3">
        <f t="shared" si="1"/>
        <v>0.14999999999999991</v>
      </c>
      <c r="E10" s="3">
        <f t="shared" si="2"/>
        <v>0.35604999999999992</v>
      </c>
      <c r="F10" t="s">
        <v>111</v>
      </c>
      <c r="G10" s="41"/>
      <c r="H10" s="41"/>
      <c r="I10" s="28"/>
      <c r="J10" s="28"/>
    </row>
    <row r="11" spans="1:20" x14ac:dyDescent="0.2">
      <c r="A11" t="s">
        <v>20</v>
      </c>
      <c r="B11">
        <v>1.47</v>
      </c>
      <c r="C11" s="3">
        <f t="shared" si="0"/>
        <v>0.63000000000000012</v>
      </c>
      <c r="D11" s="3">
        <f t="shared" si="1"/>
        <v>0.14999999999999991</v>
      </c>
      <c r="E11" s="3">
        <f t="shared" si="2"/>
        <v>0.35604999999999992</v>
      </c>
      <c r="F11" t="s">
        <v>112</v>
      </c>
      <c r="G11" s="41">
        <f>MIN(E12,E13,E16:E20,E22:E23,E25:E30)</f>
        <v>0.21605000000000002</v>
      </c>
      <c r="H11" s="41" t="s">
        <v>475</v>
      </c>
      <c r="I11" s="28"/>
      <c r="J11" s="28"/>
    </row>
    <row r="12" spans="1:20" x14ac:dyDescent="0.2">
      <c r="A12" t="s">
        <v>21</v>
      </c>
      <c r="B12">
        <v>1.44</v>
      </c>
      <c r="C12" s="3">
        <f t="shared" si="0"/>
        <v>0.66000000000000014</v>
      </c>
      <c r="D12" s="3">
        <f t="shared" si="1"/>
        <v>0.17999999999999994</v>
      </c>
      <c r="E12" s="3">
        <f t="shared" si="2"/>
        <v>0.38604999999999995</v>
      </c>
      <c r="F12" s="41" t="s">
        <v>113</v>
      </c>
      <c r="G12" s="41">
        <f>MAX(E12:E13,E16:E20,E22:E23,E25:E30)</f>
        <v>0.5160499999999999</v>
      </c>
      <c r="H12" s="41" t="s">
        <v>476</v>
      </c>
      <c r="I12" s="28"/>
      <c r="J12" s="28"/>
    </row>
    <row r="13" spans="1:20" x14ac:dyDescent="0.2">
      <c r="A13" t="s">
        <v>22</v>
      </c>
      <c r="B13">
        <v>1.31</v>
      </c>
      <c r="C13" s="3">
        <f t="shared" si="0"/>
        <v>0.79</v>
      </c>
      <c r="D13" s="3">
        <f t="shared" si="1"/>
        <v>0.30999999999999983</v>
      </c>
      <c r="E13" s="3">
        <f t="shared" si="2"/>
        <v>0.5160499999999999</v>
      </c>
      <c r="F13" s="41" t="s">
        <v>114</v>
      </c>
      <c r="G13" s="41"/>
      <c r="H13" s="41"/>
      <c r="I13" s="28"/>
      <c r="J13" s="28"/>
    </row>
    <row r="14" spans="1:20" ht="34" x14ac:dyDescent="0.2">
      <c r="A14" s="38" t="s">
        <v>72</v>
      </c>
      <c r="B14" s="38">
        <v>1.1399999999999999</v>
      </c>
      <c r="C14" s="46">
        <f t="shared" si="0"/>
        <v>0.96000000000000019</v>
      </c>
      <c r="D14" s="46">
        <f t="shared" si="1"/>
        <v>0.48</v>
      </c>
      <c r="E14" s="46">
        <f t="shared" si="2"/>
        <v>0.68605000000000005</v>
      </c>
      <c r="F14" s="65" t="s">
        <v>506</v>
      </c>
      <c r="G14" s="74">
        <f>E12</f>
        <v>0.38604999999999995</v>
      </c>
      <c r="H14" s="74"/>
      <c r="I14" s="28"/>
      <c r="J14" s="28"/>
    </row>
    <row r="15" spans="1:20" x14ac:dyDescent="0.2">
      <c r="A15" s="29" t="s">
        <v>74</v>
      </c>
      <c r="B15" s="30">
        <v>1.25</v>
      </c>
      <c r="C15" s="42"/>
      <c r="D15" s="42"/>
      <c r="E15" s="42"/>
      <c r="F15" s="30"/>
      <c r="G15" s="74">
        <f>E13</f>
        <v>0.5160499999999999</v>
      </c>
      <c r="H15" s="74"/>
      <c r="I15" s="28"/>
      <c r="J15" s="28"/>
    </row>
    <row r="16" spans="1:20" ht="34" x14ac:dyDescent="0.2">
      <c r="A16" t="s">
        <v>23</v>
      </c>
      <c r="B16">
        <v>1.45</v>
      </c>
      <c r="C16" s="3">
        <f>B$15-B16+C$14</f>
        <v>0.76000000000000023</v>
      </c>
      <c r="D16" s="3">
        <f t="shared" si="1"/>
        <v>0.28000000000000003</v>
      </c>
      <c r="E16" s="3">
        <f t="shared" si="2"/>
        <v>0.48605000000000004</v>
      </c>
      <c r="F16" s="66" t="s">
        <v>507</v>
      </c>
      <c r="G16" s="41">
        <f>E16</f>
        <v>0.48605000000000004</v>
      </c>
      <c r="H16" s="74"/>
      <c r="I16" s="28"/>
      <c r="J16" s="28"/>
    </row>
    <row r="17" spans="1:10" x14ac:dyDescent="0.2">
      <c r="A17" t="s">
        <v>26</v>
      </c>
      <c r="B17">
        <v>1.46</v>
      </c>
      <c r="C17" s="3">
        <f t="shared" ref="C17:C20" si="3">B$15-B17+C$14</f>
        <v>0.75000000000000022</v>
      </c>
      <c r="D17" s="3">
        <f t="shared" si="1"/>
        <v>0.27</v>
      </c>
      <c r="E17" s="3">
        <f t="shared" si="2"/>
        <v>0.47605000000000003</v>
      </c>
      <c r="F17" s="41" t="s">
        <v>115</v>
      </c>
      <c r="G17" s="41">
        <f t="shared" ref="G17:G20" si="4">E17</f>
        <v>0.47605000000000003</v>
      </c>
      <c r="H17" s="74"/>
      <c r="I17" s="28"/>
      <c r="J17" s="28"/>
    </row>
    <row r="18" spans="1:10" x14ac:dyDescent="0.2">
      <c r="A18" t="s">
        <v>29</v>
      </c>
      <c r="B18">
        <v>1.45</v>
      </c>
      <c r="C18" s="3">
        <f t="shared" si="3"/>
        <v>0.76000000000000023</v>
      </c>
      <c r="D18" s="3">
        <f t="shared" si="1"/>
        <v>0.28000000000000003</v>
      </c>
      <c r="E18" s="3">
        <f t="shared" si="2"/>
        <v>0.48605000000000004</v>
      </c>
      <c r="F18" s="41" t="s">
        <v>116</v>
      </c>
      <c r="G18" s="41">
        <f t="shared" si="4"/>
        <v>0.48605000000000004</v>
      </c>
      <c r="H18" s="74"/>
      <c r="I18" s="28"/>
      <c r="J18" s="28"/>
    </row>
    <row r="19" spans="1:10" x14ac:dyDescent="0.2">
      <c r="A19" t="s">
        <v>30</v>
      </c>
      <c r="B19">
        <v>1.46</v>
      </c>
      <c r="C19" s="3">
        <f t="shared" si="3"/>
        <v>0.75000000000000022</v>
      </c>
      <c r="D19" s="3">
        <f t="shared" si="1"/>
        <v>0.27</v>
      </c>
      <c r="E19" s="3">
        <f t="shared" si="2"/>
        <v>0.47605000000000003</v>
      </c>
      <c r="F19" s="41" t="s">
        <v>117</v>
      </c>
      <c r="G19" s="41">
        <f t="shared" si="4"/>
        <v>0.47605000000000003</v>
      </c>
      <c r="H19" s="74"/>
      <c r="I19" s="28"/>
      <c r="J19" s="28"/>
    </row>
    <row r="20" spans="1:10" x14ac:dyDescent="0.2">
      <c r="A20" t="s">
        <v>31</v>
      </c>
      <c r="B20">
        <v>1.47</v>
      </c>
      <c r="C20" s="3">
        <f t="shared" si="3"/>
        <v>0.74000000000000021</v>
      </c>
      <c r="D20" s="3">
        <f t="shared" si="1"/>
        <v>0.26</v>
      </c>
      <c r="E20" s="3">
        <f t="shared" si="2"/>
        <v>0.46605000000000002</v>
      </c>
      <c r="F20" s="41" t="s">
        <v>118</v>
      </c>
      <c r="G20" s="41">
        <f t="shared" si="4"/>
        <v>0.46605000000000002</v>
      </c>
      <c r="H20" s="74"/>
      <c r="I20" s="28"/>
      <c r="J20" s="28"/>
    </row>
    <row r="21" spans="1:10" x14ac:dyDescent="0.2">
      <c r="A21" s="29" t="s">
        <v>119</v>
      </c>
      <c r="B21">
        <v>1.47</v>
      </c>
      <c r="C21" s="3"/>
      <c r="D21" s="3"/>
      <c r="E21" s="3"/>
      <c r="G21" s="41">
        <f>E22</f>
        <v>0.43604999999999999</v>
      </c>
      <c r="H21" s="74"/>
      <c r="I21" s="28"/>
      <c r="J21" s="28"/>
    </row>
    <row r="22" spans="1:10" x14ac:dyDescent="0.2">
      <c r="A22" t="s">
        <v>32</v>
      </c>
      <c r="B22">
        <v>1.5</v>
      </c>
      <c r="C22" s="3">
        <f>B$21-B22+C$20</f>
        <v>0.71000000000000019</v>
      </c>
      <c r="D22" s="3">
        <f t="shared" si="1"/>
        <v>0.22999999999999998</v>
      </c>
      <c r="E22" s="3">
        <f t="shared" si="2"/>
        <v>0.43604999999999999</v>
      </c>
      <c r="F22" s="41" t="s">
        <v>120</v>
      </c>
      <c r="G22" s="41">
        <f>E23</f>
        <v>0.42604999999999998</v>
      </c>
      <c r="H22" s="74"/>
      <c r="I22" s="28"/>
      <c r="J22" s="28"/>
    </row>
    <row r="23" spans="1:10" x14ac:dyDescent="0.2">
      <c r="A23" t="s">
        <v>33</v>
      </c>
      <c r="B23" s="3">
        <v>1.51</v>
      </c>
      <c r="C23" s="3">
        <f>B$21-B23+C$20</f>
        <v>0.70000000000000018</v>
      </c>
      <c r="D23" s="3">
        <f t="shared" si="1"/>
        <v>0.21999999999999997</v>
      </c>
      <c r="E23" s="3">
        <f t="shared" si="2"/>
        <v>0.42604999999999998</v>
      </c>
      <c r="F23" s="41" t="s">
        <v>121</v>
      </c>
      <c r="G23" s="41">
        <f>E25</f>
        <v>0.42105000000000009</v>
      </c>
      <c r="H23" s="74"/>
      <c r="I23" s="28"/>
      <c r="J23" s="28"/>
    </row>
    <row r="24" spans="1:10" x14ac:dyDescent="0.2">
      <c r="A24" s="29" t="s">
        <v>34</v>
      </c>
      <c r="B24">
        <v>1.53</v>
      </c>
      <c r="C24" s="3"/>
      <c r="D24" s="3"/>
      <c r="E24" s="3"/>
      <c r="G24" s="41">
        <f t="shared" ref="G24:G28" si="5">E26</f>
        <v>0.36604999999999993</v>
      </c>
      <c r="H24" s="74"/>
      <c r="I24" s="28"/>
      <c r="J24" s="28"/>
    </row>
    <row r="25" spans="1:10" x14ac:dyDescent="0.2">
      <c r="A25" t="s">
        <v>35</v>
      </c>
      <c r="B25">
        <v>1.5349999999999999</v>
      </c>
      <c r="C25" s="3">
        <f>B$24-B25+C$23</f>
        <v>0.69500000000000028</v>
      </c>
      <c r="D25" s="3">
        <f t="shared" si="1"/>
        <v>0.21500000000000008</v>
      </c>
      <c r="E25" s="3">
        <f t="shared" si="2"/>
        <v>0.42105000000000009</v>
      </c>
      <c r="F25" s="41" t="s">
        <v>122</v>
      </c>
      <c r="G25" s="41">
        <f t="shared" si="5"/>
        <v>0.3360499999999999</v>
      </c>
      <c r="H25" s="74"/>
      <c r="I25" s="28"/>
      <c r="J25" s="28"/>
    </row>
    <row r="26" spans="1:10" x14ac:dyDescent="0.2">
      <c r="A26" t="s">
        <v>37</v>
      </c>
      <c r="B26">
        <v>1.59</v>
      </c>
      <c r="C26" s="3">
        <f t="shared" ref="C26:C32" si="6">B$24-B26+C$23</f>
        <v>0.64000000000000012</v>
      </c>
      <c r="D26" s="3">
        <f t="shared" si="1"/>
        <v>0.15999999999999992</v>
      </c>
      <c r="E26" s="3">
        <f t="shared" si="2"/>
        <v>0.36604999999999993</v>
      </c>
      <c r="F26" s="41" t="s">
        <v>123</v>
      </c>
      <c r="G26" s="41">
        <f t="shared" si="5"/>
        <v>0.3060500000000001</v>
      </c>
      <c r="H26" s="74"/>
      <c r="I26" s="28"/>
      <c r="J26" s="28"/>
    </row>
    <row r="27" spans="1:10" x14ac:dyDescent="0.2">
      <c r="A27" t="s">
        <v>124</v>
      </c>
      <c r="B27">
        <v>1.62</v>
      </c>
      <c r="C27" s="3">
        <f t="shared" si="6"/>
        <v>0.6100000000000001</v>
      </c>
      <c r="D27" s="3">
        <f t="shared" si="1"/>
        <v>0.12999999999999989</v>
      </c>
      <c r="E27" s="3">
        <f t="shared" si="2"/>
        <v>0.3360499999999999</v>
      </c>
      <c r="F27" s="41" t="s">
        <v>125</v>
      </c>
      <c r="G27" s="41">
        <f t="shared" si="5"/>
        <v>0.25605000000000006</v>
      </c>
      <c r="H27" s="74"/>
      <c r="I27" s="28"/>
      <c r="J27" s="28"/>
    </row>
    <row r="28" spans="1:10" x14ac:dyDescent="0.2">
      <c r="A28" t="s">
        <v>40</v>
      </c>
      <c r="B28">
        <v>1.65</v>
      </c>
      <c r="C28" s="3">
        <f t="shared" si="6"/>
        <v>0.58000000000000029</v>
      </c>
      <c r="D28" s="3">
        <f t="shared" si="1"/>
        <v>0.10000000000000009</v>
      </c>
      <c r="E28" s="3">
        <f t="shared" si="2"/>
        <v>0.3060500000000001</v>
      </c>
      <c r="F28" s="41" t="s">
        <v>19</v>
      </c>
      <c r="G28" s="41">
        <f t="shared" si="5"/>
        <v>0.21605000000000002</v>
      </c>
      <c r="H28" s="74"/>
      <c r="I28" s="28"/>
      <c r="J28" s="28"/>
    </row>
    <row r="29" spans="1:10" x14ac:dyDescent="0.2">
      <c r="A29" t="s">
        <v>49</v>
      </c>
      <c r="B29">
        <v>1.7</v>
      </c>
      <c r="C29" s="3">
        <f t="shared" si="6"/>
        <v>0.53000000000000025</v>
      </c>
      <c r="D29" s="3">
        <f t="shared" si="1"/>
        <v>5.0000000000000044E-2</v>
      </c>
      <c r="E29" s="3">
        <f t="shared" si="2"/>
        <v>0.25605000000000006</v>
      </c>
      <c r="F29" s="41" t="s">
        <v>19</v>
      </c>
      <c r="I29" s="28"/>
      <c r="J29" s="28"/>
    </row>
    <row r="30" spans="1:10" x14ac:dyDescent="0.2">
      <c r="A30" t="s">
        <v>51</v>
      </c>
      <c r="B30">
        <v>1.74</v>
      </c>
      <c r="C30" s="3">
        <f t="shared" si="6"/>
        <v>0.49000000000000021</v>
      </c>
      <c r="D30" s="3">
        <f t="shared" si="1"/>
        <v>1.0000000000000009E-2</v>
      </c>
      <c r="E30" s="3">
        <f t="shared" si="2"/>
        <v>0.21605000000000002</v>
      </c>
      <c r="F30" s="41" t="s">
        <v>19</v>
      </c>
      <c r="I30" s="28"/>
      <c r="J30" s="28"/>
    </row>
    <row r="31" spans="1:10" x14ac:dyDescent="0.2">
      <c r="A31" t="s">
        <v>126</v>
      </c>
      <c r="B31">
        <v>1.78</v>
      </c>
      <c r="C31" s="3">
        <f t="shared" si="6"/>
        <v>0.45000000000000018</v>
      </c>
      <c r="D31" s="3">
        <f t="shared" si="1"/>
        <v>-3.0000000000000027E-2</v>
      </c>
      <c r="E31" s="3">
        <f t="shared" si="2"/>
        <v>0.17604999999999998</v>
      </c>
      <c r="I31" s="28"/>
      <c r="J31" s="28"/>
    </row>
    <row r="32" spans="1:10" x14ac:dyDescent="0.2">
      <c r="A32" s="33" t="s">
        <v>127</v>
      </c>
      <c r="B32" s="33">
        <v>1.75</v>
      </c>
      <c r="C32" s="44">
        <f t="shared" si="6"/>
        <v>0.4800000000000002</v>
      </c>
      <c r="D32" s="44">
        <f t="shared" si="1"/>
        <v>0</v>
      </c>
      <c r="E32" s="44">
        <f t="shared" si="2"/>
        <v>0.20605000000000001</v>
      </c>
      <c r="F32" s="33" t="s">
        <v>508</v>
      </c>
      <c r="G32" s="5"/>
      <c r="I32" s="28"/>
      <c r="J32" s="28"/>
    </row>
    <row r="33" spans="1:10" x14ac:dyDescent="0.2">
      <c r="A33" s="29" t="s">
        <v>128</v>
      </c>
      <c r="B33" s="30">
        <v>1.68</v>
      </c>
      <c r="C33" s="42"/>
      <c r="D33" s="42">
        <f t="shared" si="1"/>
        <v>-0.4800000000000002</v>
      </c>
      <c r="E33" s="42"/>
      <c r="F33" s="30"/>
      <c r="I33" s="28"/>
      <c r="J33" s="28"/>
    </row>
    <row r="34" spans="1:10" x14ac:dyDescent="0.2">
      <c r="A34" t="s">
        <v>129</v>
      </c>
      <c r="B34">
        <v>1.65</v>
      </c>
      <c r="C34" s="3">
        <f>B$33-B34+C$32</f>
        <v>0.51000000000000023</v>
      </c>
      <c r="D34" s="3">
        <f t="shared" si="1"/>
        <v>3.0000000000000027E-2</v>
      </c>
      <c r="E34" s="3">
        <f t="shared" si="2"/>
        <v>0.23605000000000004</v>
      </c>
      <c r="I34" s="28"/>
      <c r="J34" s="28"/>
    </row>
    <row r="35" spans="1:10" x14ac:dyDescent="0.2">
      <c r="A35" t="s">
        <v>130</v>
      </c>
      <c r="B35">
        <v>1.48</v>
      </c>
      <c r="C35" s="43">
        <f>B$33-B35+C$32</f>
        <v>0.68000000000000016</v>
      </c>
      <c r="D35" s="42">
        <f t="shared" si="1"/>
        <v>0.19999999999999996</v>
      </c>
      <c r="E35" s="42">
        <f t="shared" si="2"/>
        <v>0.40604999999999997</v>
      </c>
      <c r="I35" s="28"/>
      <c r="J35" s="28"/>
    </row>
    <row r="36" spans="1:10" x14ac:dyDescent="0.2">
      <c r="I36" s="28"/>
      <c r="J36" s="28"/>
    </row>
    <row r="37" spans="1:10" x14ac:dyDescent="0.2">
      <c r="A37" s="5" t="s">
        <v>463</v>
      </c>
      <c r="I37" s="28"/>
      <c r="J37" s="28"/>
    </row>
    <row r="38" spans="1:10" x14ac:dyDescent="0.2">
      <c r="A38" t="s">
        <v>81</v>
      </c>
      <c r="B38">
        <f>SUM(B6,B15,B21,B24,B33)</f>
        <v>8.0300000000000011</v>
      </c>
      <c r="I38" s="28"/>
      <c r="J38" s="28"/>
    </row>
    <row r="39" spans="1:10" x14ac:dyDescent="0.2">
      <c r="A39" t="s">
        <v>79</v>
      </c>
      <c r="B39">
        <f>SUM(B14,B20,B23,B32,B35)</f>
        <v>7.35</v>
      </c>
      <c r="I39" s="28"/>
      <c r="J39" s="28"/>
    </row>
    <row r="40" spans="1:10" x14ac:dyDescent="0.2">
      <c r="A40" t="s">
        <v>462</v>
      </c>
      <c r="B40" s="37">
        <f>B38-B39</f>
        <v>0.68000000000000149</v>
      </c>
      <c r="I40" s="28"/>
      <c r="J40" s="2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15FFE-3DCF-8D4F-B046-DEB88B9110B3}">
  <dimension ref="A1:Q56"/>
  <sheetViews>
    <sheetView zoomScaleNormal="100" workbookViewId="0">
      <selection activeCell="E4" sqref="E4"/>
    </sheetView>
  </sheetViews>
  <sheetFormatPr baseColWidth="10" defaultColWidth="11" defaultRowHeight="16" x14ac:dyDescent="0.2"/>
  <cols>
    <col min="1" max="1" width="36.6640625" customWidth="1"/>
    <col min="3" max="3" width="15" customWidth="1"/>
    <col min="4" max="4" width="23" bestFit="1" customWidth="1"/>
    <col min="5" max="5" width="20.5" bestFit="1" customWidth="1"/>
    <col min="6" max="6" width="20.83203125" customWidth="1"/>
    <col min="10" max="10" width="27" customWidth="1"/>
    <col min="14" max="14" width="17.5" bestFit="1" customWidth="1"/>
    <col min="17" max="17" width="17" bestFit="1" customWidth="1"/>
  </cols>
  <sheetData>
    <row r="1" spans="1:17" x14ac:dyDescent="0.2">
      <c r="A1" t="s">
        <v>0</v>
      </c>
      <c r="B1" t="s">
        <v>131</v>
      </c>
      <c r="H1" s="5"/>
      <c r="N1" s="32" t="s">
        <v>486</v>
      </c>
      <c r="O1" s="32" t="s">
        <v>465</v>
      </c>
      <c r="P1" s="32" t="s">
        <v>464</v>
      </c>
      <c r="Q1" s="32" t="s">
        <v>467</v>
      </c>
    </row>
    <row r="2" spans="1:17" x14ac:dyDescent="0.2">
      <c r="A2" t="s">
        <v>2</v>
      </c>
      <c r="B2" s="1">
        <v>43603</v>
      </c>
      <c r="O2" s="35">
        <v>-4.4286700000000003</v>
      </c>
      <c r="P2" s="35">
        <v>-4.5977499999999996</v>
      </c>
      <c r="Q2">
        <f>O2-P2</f>
        <v>0.16907999999999923</v>
      </c>
    </row>
    <row r="3" spans="1:17" x14ac:dyDescent="0.2">
      <c r="A3" t="s">
        <v>4</v>
      </c>
      <c r="B3" t="s">
        <v>132</v>
      </c>
    </row>
    <row r="5" spans="1:17" ht="34" x14ac:dyDescent="0.2">
      <c r="A5" t="s">
        <v>6</v>
      </c>
      <c r="B5" t="s">
        <v>7</v>
      </c>
      <c r="C5" t="s">
        <v>8</v>
      </c>
      <c r="D5" t="s">
        <v>505</v>
      </c>
      <c r="E5" t="s">
        <v>480</v>
      </c>
      <c r="F5" t="s">
        <v>9</v>
      </c>
      <c r="L5" s="45" t="s">
        <v>474</v>
      </c>
      <c r="M5" s="41"/>
      <c r="N5" s="58"/>
    </row>
    <row r="6" spans="1:17" x14ac:dyDescent="0.2">
      <c r="A6" t="s">
        <v>10</v>
      </c>
      <c r="B6">
        <v>2.16</v>
      </c>
      <c r="F6" t="s">
        <v>133</v>
      </c>
      <c r="L6" s="41"/>
      <c r="M6" s="41"/>
      <c r="N6" s="28"/>
    </row>
    <row r="7" spans="1:17" x14ac:dyDescent="0.2">
      <c r="A7" t="s">
        <v>12</v>
      </c>
      <c r="B7">
        <v>1.84</v>
      </c>
      <c r="C7">
        <f t="shared" ref="C7:C14" si="0">B$6-B7</f>
        <v>0.32000000000000006</v>
      </c>
      <c r="D7">
        <f>C7-C$25</f>
        <v>-5.500000000000016E-2</v>
      </c>
      <c r="E7">
        <f t="shared" ref="E7:E14" si="1">D7+Q$2</f>
        <v>0.11407999999999907</v>
      </c>
      <c r="F7" t="s">
        <v>134</v>
      </c>
      <c r="L7" s="41"/>
      <c r="M7" s="41"/>
      <c r="N7" s="28"/>
    </row>
    <row r="8" spans="1:17" x14ac:dyDescent="0.2">
      <c r="A8" t="s">
        <v>14</v>
      </c>
      <c r="B8">
        <v>1.67</v>
      </c>
      <c r="C8">
        <f t="shared" si="0"/>
        <v>0.49000000000000021</v>
      </c>
      <c r="D8">
        <f t="shared" ref="D8:D50" si="2">C8-C$25</f>
        <v>0.11499999999999999</v>
      </c>
      <c r="E8">
        <f t="shared" si="1"/>
        <v>0.28407999999999922</v>
      </c>
      <c r="F8" s="41" t="s">
        <v>135</v>
      </c>
      <c r="G8" s="41"/>
      <c r="H8" s="41"/>
      <c r="I8" s="41"/>
      <c r="J8" s="41"/>
      <c r="L8" s="41">
        <f>MIN(E$8:E$13,E$31,E$16:E$18,E$20:E$21,E$38:E$39,E$41:E$43,E$45:E$48)</f>
        <v>0.21907999999999905</v>
      </c>
      <c r="M8" s="41" t="s">
        <v>475</v>
      </c>
      <c r="N8" s="28"/>
    </row>
    <row r="9" spans="1:17" x14ac:dyDescent="0.2">
      <c r="A9" t="s">
        <v>16</v>
      </c>
      <c r="B9">
        <v>1.6</v>
      </c>
      <c r="C9">
        <f t="shared" si="0"/>
        <v>0.56000000000000005</v>
      </c>
      <c r="D9">
        <f t="shared" si="2"/>
        <v>0.18499999999999983</v>
      </c>
      <c r="E9">
        <f t="shared" si="1"/>
        <v>0.35407999999999906</v>
      </c>
      <c r="F9" s="41"/>
      <c r="G9" s="41"/>
      <c r="H9" s="41"/>
      <c r="I9" s="41"/>
      <c r="J9" s="41"/>
      <c r="L9" s="41">
        <f>MAX(E$8:E$13,E$31,E$16:E$18,E$20:E$21,E$38:E$39,E$41:E$43,E$45:E$48)</f>
        <v>0.49907999999999908</v>
      </c>
      <c r="M9" s="41" t="s">
        <v>476</v>
      </c>
      <c r="N9" s="28"/>
    </row>
    <row r="10" spans="1:17" x14ac:dyDescent="0.2">
      <c r="A10" t="s">
        <v>18</v>
      </c>
      <c r="B10">
        <v>1.58</v>
      </c>
      <c r="C10">
        <f t="shared" si="0"/>
        <v>0.58000000000000007</v>
      </c>
      <c r="D10">
        <f t="shared" si="2"/>
        <v>0.20499999999999985</v>
      </c>
      <c r="E10">
        <f t="shared" si="1"/>
        <v>0.37407999999999908</v>
      </c>
      <c r="F10" s="41"/>
      <c r="G10" s="41"/>
      <c r="H10" s="41"/>
      <c r="I10" s="41"/>
      <c r="J10" s="41"/>
      <c r="L10" s="41"/>
      <c r="M10" s="41"/>
      <c r="N10" s="28"/>
    </row>
    <row r="11" spans="1:17" x14ac:dyDescent="0.2">
      <c r="A11" t="s">
        <v>20</v>
      </c>
      <c r="B11">
        <v>1.53</v>
      </c>
      <c r="C11">
        <f t="shared" si="0"/>
        <v>0.63000000000000012</v>
      </c>
      <c r="D11">
        <f t="shared" si="2"/>
        <v>0.25499999999999989</v>
      </c>
      <c r="E11">
        <f t="shared" si="1"/>
        <v>0.42407999999999912</v>
      </c>
      <c r="F11" s="41" t="s">
        <v>136</v>
      </c>
      <c r="G11" s="41"/>
      <c r="H11" s="41"/>
      <c r="I11" s="41"/>
      <c r="J11" s="41"/>
      <c r="L11" s="41">
        <f>E8</f>
        <v>0.28407999999999922</v>
      </c>
      <c r="M11" s="41"/>
      <c r="N11" s="28"/>
    </row>
    <row r="12" spans="1:17" x14ac:dyDescent="0.2">
      <c r="A12" t="s">
        <v>21</v>
      </c>
      <c r="B12">
        <v>1.49</v>
      </c>
      <c r="C12">
        <f t="shared" si="0"/>
        <v>0.67000000000000015</v>
      </c>
      <c r="D12">
        <f t="shared" si="2"/>
        <v>0.29499999999999993</v>
      </c>
      <c r="E12">
        <f t="shared" si="1"/>
        <v>0.46407999999999916</v>
      </c>
      <c r="F12" s="41"/>
      <c r="G12" s="41"/>
      <c r="H12" s="41"/>
      <c r="I12" s="41"/>
      <c r="J12" s="41"/>
      <c r="L12" s="41">
        <f t="shared" ref="L12:L16" si="3">E9</f>
        <v>0.35407999999999906</v>
      </c>
      <c r="M12" s="41"/>
      <c r="N12" s="28"/>
    </row>
    <row r="13" spans="1:17" x14ac:dyDescent="0.2">
      <c r="A13" t="s">
        <v>22</v>
      </c>
      <c r="B13">
        <v>1.49</v>
      </c>
      <c r="C13">
        <f t="shared" si="0"/>
        <v>0.67000000000000015</v>
      </c>
      <c r="D13">
        <f t="shared" si="2"/>
        <v>0.29499999999999993</v>
      </c>
      <c r="E13">
        <f t="shared" si="1"/>
        <v>0.46407999999999916</v>
      </c>
      <c r="F13" s="41" t="s">
        <v>137</v>
      </c>
      <c r="G13" s="41"/>
      <c r="H13" s="41"/>
      <c r="I13" s="41"/>
      <c r="J13" s="41"/>
      <c r="L13" s="41">
        <f t="shared" si="3"/>
        <v>0.37407999999999908</v>
      </c>
      <c r="M13" s="41"/>
      <c r="N13" s="28"/>
    </row>
    <row r="14" spans="1:17" x14ac:dyDescent="0.2">
      <c r="A14" t="s">
        <v>23</v>
      </c>
      <c r="B14">
        <v>1.5049999999999999</v>
      </c>
      <c r="C14">
        <f t="shared" si="0"/>
        <v>0.65500000000000025</v>
      </c>
      <c r="D14">
        <f t="shared" si="2"/>
        <v>0.28000000000000003</v>
      </c>
      <c r="E14">
        <f t="shared" si="1"/>
        <v>0.44907999999999926</v>
      </c>
      <c r="F14" t="s">
        <v>138</v>
      </c>
      <c r="L14" s="41">
        <f t="shared" si="3"/>
        <v>0.42407999999999912</v>
      </c>
      <c r="M14" s="41"/>
      <c r="N14" s="28"/>
    </row>
    <row r="15" spans="1:17" x14ac:dyDescent="0.2">
      <c r="A15" t="s">
        <v>25</v>
      </c>
      <c r="B15">
        <v>1.4</v>
      </c>
      <c r="L15" s="41">
        <f t="shared" si="3"/>
        <v>0.46407999999999916</v>
      </c>
      <c r="M15" s="41"/>
      <c r="N15" s="28"/>
    </row>
    <row r="16" spans="1:17" x14ac:dyDescent="0.2">
      <c r="A16" t="s">
        <v>26</v>
      </c>
      <c r="B16">
        <v>1.405</v>
      </c>
      <c r="C16">
        <f>B$15-B16+C$14</f>
        <v>0.65000000000000013</v>
      </c>
      <c r="D16">
        <f t="shared" si="2"/>
        <v>0.27499999999999991</v>
      </c>
      <c r="E16">
        <f>D16+Q$2</f>
        <v>0.44407999999999914</v>
      </c>
      <c r="F16" s="41" t="s">
        <v>139</v>
      </c>
      <c r="G16" s="41"/>
      <c r="H16" s="41"/>
      <c r="I16" s="41"/>
      <c r="J16" s="41"/>
      <c r="L16" s="41">
        <f t="shared" si="3"/>
        <v>0.46407999999999916</v>
      </c>
      <c r="M16" s="41"/>
      <c r="N16" s="28"/>
    </row>
    <row r="17" spans="1:14" x14ac:dyDescent="0.2">
      <c r="A17" t="s">
        <v>29</v>
      </c>
      <c r="B17">
        <v>1.4</v>
      </c>
      <c r="C17">
        <f>B$15-B17+C$14</f>
        <v>0.65500000000000025</v>
      </c>
      <c r="D17">
        <f t="shared" si="2"/>
        <v>0.28000000000000003</v>
      </c>
      <c r="E17">
        <f>D17+Q$2</f>
        <v>0.44907999999999926</v>
      </c>
      <c r="F17" s="41" t="s">
        <v>140</v>
      </c>
      <c r="G17" s="41"/>
      <c r="H17" s="41"/>
      <c r="I17" s="41"/>
      <c r="J17" s="41"/>
      <c r="L17" s="41">
        <f>E16</f>
        <v>0.44407999999999914</v>
      </c>
      <c r="M17" s="41"/>
      <c r="N17" s="28"/>
    </row>
    <row r="18" spans="1:14" x14ac:dyDescent="0.2">
      <c r="A18" t="s">
        <v>30</v>
      </c>
      <c r="B18">
        <v>1.42</v>
      </c>
      <c r="C18">
        <f>B$15-B18+C$14</f>
        <v>0.63500000000000023</v>
      </c>
      <c r="D18">
        <f t="shared" si="2"/>
        <v>0.26</v>
      </c>
      <c r="E18">
        <f>D18+Q$2</f>
        <v>0.42907999999999924</v>
      </c>
      <c r="F18" s="41"/>
      <c r="G18" s="41"/>
      <c r="H18" s="41"/>
      <c r="I18" s="41"/>
      <c r="J18" s="41"/>
      <c r="L18" s="41">
        <f>E17</f>
        <v>0.44907999999999926</v>
      </c>
      <c r="M18" s="41"/>
      <c r="N18" s="28"/>
    </row>
    <row r="19" spans="1:14" x14ac:dyDescent="0.2">
      <c r="A19" t="s">
        <v>141</v>
      </c>
      <c r="B19">
        <v>1.66</v>
      </c>
      <c r="F19" s="30"/>
      <c r="L19" s="41">
        <f>E18</f>
        <v>0.42907999999999924</v>
      </c>
      <c r="M19" s="41"/>
      <c r="N19" s="28"/>
    </row>
    <row r="20" spans="1:14" x14ac:dyDescent="0.2">
      <c r="A20" t="s">
        <v>31</v>
      </c>
      <c r="B20">
        <v>1.69</v>
      </c>
      <c r="C20">
        <f>B$19-B20+C$18</f>
        <v>0.6050000000000002</v>
      </c>
      <c r="D20">
        <f t="shared" si="2"/>
        <v>0.22999999999999998</v>
      </c>
      <c r="E20">
        <f>D20+Q$2</f>
        <v>0.39907999999999921</v>
      </c>
      <c r="F20" s="41"/>
      <c r="G20" s="41"/>
      <c r="H20" s="41"/>
      <c r="I20" s="41"/>
      <c r="J20" s="41"/>
      <c r="L20" s="41">
        <f>E20</f>
        <v>0.39907999999999921</v>
      </c>
      <c r="M20" s="41"/>
      <c r="N20" s="28"/>
    </row>
    <row r="21" spans="1:14" x14ac:dyDescent="0.2">
      <c r="A21" t="s">
        <v>32</v>
      </c>
      <c r="B21">
        <v>1.7</v>
      </c>
      <c r="C21">
        <f>B$19-B21+C$18</f>
        <v>0.5950000000000002</v>
      </c>
      <c r="D21">
        <f t="shared" si="2"/>
        <v>0.21999999999999997</v>
      </c>
      <c r="E21">
        <f>D21+Q$2</f>
        <v>0.3890799999999992</v>
      </c>
      <c r="F21" s="41" t="s">
        <v>142</v>
      </c>
      <c r="G21" s="41"/>
      <c r="H21" s="41"/>
      <c r="I21" s="41"/>
      <c r="J21" s="41"/>
      <c r="L21" s="41">
        <f>E21</f>
        <v>0.3890799999999992</v>
      </c>
      <c r="M21" s="41"/>
      <c r="N21" s="28"/>
    </row>
    <row r="22" spans="1:14" x14ac:dyDescent="0.2">
      <c r="A22" t="s">
        <v>33</v>
      </c>
      <c r="B22">
        <v>1.87</v>
      </c>
      <c r="C22">
        <f>B$19-B22+C$18</f>
        <v>0.42500000000000004</v>
      </c>
      <c r="D22">
        <f t="shared" si="2"/>
        <v>4.9999999999999822E-2</v>
      </c>
      <c r="E22">
        <f>D22+Q$2</f>
        <v>0.21907999999999905</v>
      </c>
      <c r="F22" t="s">
        <v>143</v>
      </c>
      <c r="L22" s="41">
        <f>E31</f>
        <v>0.35907999999999918</v>
      </c>
      <c r="M22" s="41"/>
      <c r="N22" s="28"/>
    </row>
    <row r="23" spans="1:14" x14ac:dyDescent="0.2">
      <c r="A23" t="s">
        <v>35</v>
      </c>
      <c r="B23">
        <v>1.91</v>
      </c>
      <c r="C23">
        <f>B$19-B23+C$18</f>
        <v>0.38500000000000023</v>
      </c>
      <c r="D23">
        <f t="shared" si="2"/>
        <v>1.0000000000000009E-2</v>
      </c>
      <c r="E23">
        <f>D23+Q$2</f>
        <v>0.17907999999999924</v>
      </c>
      <c r="F23" t="s">
        <v>19</v>
      </c>
      <c r="L23" s="41">
        <f>E38</f>
        <v>0.44907999999999904</v>
      </c>
      <c r="M23" s="41"/>
      <c r="N23" s="28"/>
    </row>
    <row r="24" spans="1:14" x14ac:dyDescent="0.2">
      <c r="A24" t="s">
        <v>144</v>
      </c>
      <c r="B24">
        <v>1.58</v>
      </c>
      <c r="L24" s="41">
        <f>E39</f>
        <v>0.46907999999999905</v>
      </c>
      <c r="M24" s="41"/>
      <c r="N24" s="28"/>
    </row>
    <row r="25" spans="1:14" x14ac:dyDescent="0.2">
      <c r="A25" s="33" t="s">
        <v>145</v>
      </c>
      <c r="B25" s="33">
        <v>1.59</v>
      </c>
      <c r="C25" s="33">
        <f>B$24-B25+C$23</f>
        <v>0.37500000000000022</v>
      </c>
      <c r="D25" s="33">
        <f t="shared" si="2"/>
        <v>0</v>
      </c>
      <c r="E25" s="33">
        <f>D25+Q$2</f>
        <v>0.16907999999999923</v>
      </c>
      <c r="F25" s="33" t="s">
        <v>19</v>
      </c>
      <c r="L25" s="41">
        <f>E41</f>
        <v>0.49907999999999908</v>
      </c>
      <c r="M25" s="41"/>
      <c r="N25" s="28"/>
    </row>
    <row r="26" spans="1:14" x14ac:dyDescent="0.2">
      <c r="A26" t="s">
        <v>37</v>
      </c>
      <c r="B26">
        <v>1.63</v>
      </c>
      <c r="C26">
        <f>B$24-B26+C$23</f>
        <v>0.33500000000000041</v>
      </c>
      <c r="D26">
        <f t="shared" si="2"/>
        <v>-3.9999999999999813E-2</v>
      </c>
      <c r="E26">
        <f>D26+Q$2</f>
        <v>0.12907999999999942</v>
      </c>
      <c r="F26" t="s">
        <v>19</v>
      </c>
      <c r="L26" s="41">
        <f>E42</f>
        <v>0.409079999999999</v>
      </c>
      <c r="M26" s="41"/>
      <c r="N26" s="28"/>
    </row>
    <row r="27" spans="1:14" x14ac:dyDescent="0.2">
      <c r="A27" t="s">
        <v>39</v>
      </c>
      <c r="B27">
        <v>1.58</v>
      </c>
      <c r="C27">
        <f>B$24-B27+C$23</f>
        <v>0.38500000000000023</v>
      </c>
      <c r="D27">
        <f t="shared" si="2"/>
        <v>1.0000000000000009E-2</v>
      </c>
      <c r="E27">
        <f>D27+Q$2</f>
        <v>0.17907999999999924</v>
      </c>
      <c r="F27" t="s">
        <v>146</v>
      </c>
      <c r="L27" s="41">
        <f>E43</f>
        <v>0.39907999999999899</v>
      </c>
      <c r="M27" s="41"/>
      <c r="N27" s="28"/>
    </row>
    <row r="28" spans="1:14" x14ac:dyDescent="0.2">
      <c r="A28" t="s">
        <v>147</v>
      </c>
      <c r="B28">
        <v>1.59</v>
      </c>
      <c r="C28">
        <f t="shared" ref="C28:C29" si="4">B$24-B28+C$23</f>
        <v>0.37500000000000022</v>
      </c>
      <c r="D28">
        <f t="shared" si="2"/>
        <v>0</v>
      </c>
      <c r="E28">
        <f>D28+Q$2</f>
        <v>0.16907999999999923</v>
      </c>
      <c r="L28" s="41">
        <f>E45</f>
        <v>0.3890799999999992</v>
      </c>
      <c r="M28" s="41"/>
      <c r="N28" s="28"/>
    </row>
    <row r="29" spans="1:14" x14ac:dyDescent="0.2">
      <c r="A29" t="s">
        <v>40</v>
      </c>
      <c r="B29">
        <v>1.53</v>
      </c>
      <c r="C29">
        <f t="shared" si="4"/>
        <v>0.43500000000000028</v>
      </c>
      <c r="D29">
        <f t="shared" si="2"/>
        <v>6.0000000000000053E-2</v>
      </c>
      <c r="E29">
        <f>D29+Q$2</f>
        <v>0.22907999999999928</v>
      </c>
      <c r="F29" t="s">
        <v>148</v>
      </c>
      <c r="L29" s="41">
        <f>E46</f>
        <v>0.34907999999999917</v>
      </c>
      <c r="M29" s="41"/>
      <c r="N29" s="28"/>
    </row>
    <row r="30" spans="1:14" x14ac:dyDescent="0.2">
      <c r="A30" t="s">
        <v>42</v>
      </c>
      <c r="B30">
        <v>1.45</v>
      </c>
      <c r="L30" s="41">
        <f>E47</f>
        <v>0.29907999999999912</v>
      </c>
      <c r="M30" s="41"/>
      <c r="N30" s="28"/>
    </row>
    <row r="31" spans="1:14" x14ac:dyDescent="0.2">
      <c r="A31" t="s">
        <v>49</v>
      </c>
      <c r="B31">
        <v>1.32</v>
      </c>
      <c r="C31">
        <f>B$30-B31+C$29</f>
        <v>0.56500000000000017</v>
      </c>
      <c r="D31">
        <f t="shared" si="2"/>
        <v>0.18999999999999995</v>
      </c>
      <c r="E31">
        <f>D31+Q$2</f>
        <v>0.35907999999999918</v>
      </c>
      <c r="F31" s="41" t="s">
        <v>149</v>
      </c>
      <c r="G31" s="41"/>
      <c r="H31" s="41"/>
      <c r="I31" s="41"/>
      <c r="J31" s="41"/>
      <c r="L31" s="41">
        <f>E48</f>
        <v>0.21907999999999905</v>
      </c>
      <c r="M31" s="41"/>
      <c r="N31" s="28"/>
    </row>
    <row r="32" spans="1:14" x14ac:dyDescent="0.2">
      <c r="A32" t="s">
        <v>51</v>
      </c>
      <c r="B32">
        <v>1.29</v>
      </c>
      <c r="C32">
        <f t="shared" ref="C32:C33" si="5">B$30-B32+C$29</f>
        <v>0.5950000000000002</v>
      </c>
      <c r="D32">
        <f t="shared" si="2"/>
        <v>0.21999999999999997</v>
      </c>
      <c r="E32">
        <f>D32+Q$2</f>
        <v>0.3890799999999992</v>
      </c>
      <c r="L32" s="41"/>
      <c r="M32" s="41"/>
      <c r="N32" s="28"/>
    </row>
    <row r="33" spans="1:14" x14ac:dyDescent="0.2">
      <c r="A33" t="s">
        <v>150</v>
      </c>
      <c r="B33">
        <v>1.29</v>
      </c>
      <c r="C33">
        <f t="shared" si="5"/>
        <v>0.5950000000000002</v>
      </c>
      <c r="D33">
        <f t="shared" si="2"/>
        <v>0.21999999999999997</v>
      </c>
      <c r="E33">
        <f>D33+Q$2</f>
        <v>0.3890799999999992</v>
      </c>
      <c r="N33" s="28"/>
    </row>
    <row r="34" spans="1:14" x14ac:dyDescent="0.2">
      <c r="A34" t="s">
        <v>151</v>
      </c>
      <c r="B34">
        <v>1.4</v>
      </c>
      <c r="N34" s="28"/>
    </row>
    <row r="35" spans="1:14" x14ac:dyDescent="0.2">
      <c r="A35" t="s">
        <v>89</v>
      </c>
      <c r="B35">
        <v>1.39</v>
      </c>
      <c r="C35">
        <f>B$34-B35+C$33</f>
        <v>0.6050000000000002</v>
      </c>
      <c r="D35">
        <f t="shared" si="2"/>
        <v>0.22999999999999998</v>
      </c>
      <c r="E35">
        <f>D35+Q$2</f>
        <v>0.39907999999999921</v>
      </c>
      <c r="N35" s="28"/>
    </row>
    <row r="36" spans="1:14" x14ac:dyDescent="0.2">
      <c r="A36" t="s">
        <v>57</v>
      </c>
      <c r="B36">
        <v>1.37</v>
      </c>
      <c r="C36">
        <f>B$34-B36+C$33</f>
        <v>0.625</v>
      </c>
      <c r="D36">
        <f t="shared" si="2"/>
        <v>0.24999999999999978</v>
      </c>
      <c r="E36">
        <f>D36+Q$2</f>
        <v>0.41907999999999901</v>
      </c>
      <c r="N36" s="28"/>
    </row>
    <row r="37" spans="1:14" x14ac:dyDescent="0.2">
      <c r="A37" t="s">
        <v>152</v>
      </c>
      <c r="B37">
        <v>1.43</v>
      </c>
      <c r="N37" s="28"/>
    </row>
    <row r="38" spans="1:14" x14ac:dyDescent="0.2">
      <c r="A38" t="s">
        <v>60</v>
      </c>
      <c r="B38">
        <v>1.4</v>
      </c>
      <c r="C38">
        <f>B$37-B38+C$36</f>
        <v>0.65500000000000003</v>
      </c>
      <c r="D38">
        <f t="shared" si="2"/>
        <v>0.2799999999999998</v>
      </c>
      <c r="E38">
        <f>D38+Q$2</f>
        <v>0.44907999999999904</v>
      </c>
      <c r="F38" s="41" t="s">
        <v>153</v>
      </c>
      <c r="G38" s="41"/>
      <c r="H38" s="41"/>
      <c r="I38" s="41"/>
      <c r="J38" s="41"/>
      <c r="N38" s="28"/>
    </row>
    <row r="39" spans="1:14" x14ac:dyDescent="0.2">
      <c r="A39" t="s">
        <v>154</v>
      </c>
      <c r="B39">
        <v>1.38</v>
      </c>
      <c r="C39">
        <f>B$37-B39+C$36</f>
        <v>0.67500000000000004</v>
      </c>
      <c r="D39">
        <f t="shared" si="2"/>
        <v>0.29999999999999982</v>
      </c>
      <c r="E39">
        <f>D39+Q$2</f>
        <v>0.46907999999999905</v>
      </c>
      <c r="F39" s="41"/>
      <c r="G39" s="41"/>
      <c r="H39" s="41"/>
      <c r="I39" s="41"/>
      <c r="J39" s="41"/>
      <c r="N39" s="28"/>
    </row>
    <row r="40" spans="1:14" x14ac:dyDescent="0.2">
      <c r="A40" t="s">
        <v>155</v>
      </c>
      <c r="B40">
        <v>1.43</v>
      </c>
      <c r="F40" s="30"/>
      <c r="N40" s="28"/>
    </row>
    <row r="41" spans="1:14" x14ac:dyDescent="0.2">
      <c r="A41" t="s">
        <v>62</v>
      </c>
      <c r="B41">
        <v>1.4</v>
      </c>
      <c r="C41">
        <f>B$40-B41+C$39</f>
        <v>0.70500000000000007</v>
      </c>
      <c r="D41">
        <f t="shared" si="2"/>
        <v>0.32999999999999985</v>
      </c>
      <c r="E41">
        <f>D41+Q$2</f>
        <v>0.49907999999999908</v>
      </c>
      <c r="F41" s="41" t="s">
        <v>156</v>
      </c>
      <c r="G41" s="41"/>
      <c r="H41" s="41"/>
      <c r="I41" s="41"/>
      <c r="J41" s="41"/>
      <c r="N41" s="28"/>
    </row>
    <row r="42" spans="1:14" x14ac:dyDescent="0.2">
      <c r="A42" t="s">
        <v>95</v>
      </c>
      <c r="B42">
        <v>1.49</v>
      </c>
      <c r="C42">
        <f t="shared" ref="C42:C43" si="6">B$40-B42+C$39</f>
        <v>0.61499999999999999</v>
      </c>
      <c r="D42">
        <f t="shared" si="2"/>
        <v>0.23999999999999977</v>
      </c>
      <c r="E42">
        <f>D42+Q$2</f>
        <v>0.409079999999999</v>
      </c>
      <c r="F42" s="41" t="s">
        <v>157</v>
      </c>
      <c r="G42" s="41"/>
      <c r="H42" s="41"/>
      <c r="I42" s="41"/>
      <c r="J42" s="41"/>
      <c r="N42" s="28"/>
    </row>
    <row r="43" spans="1:14" x14ac:dyDescent="0.2">
      <c r="A43" t="s">
        <v>98</v>
      </c>
      <c r="B43">
        <v>1.5</v>
      </c>
      <c r="C43">
        <f t="shared" si="6"/>
        <v>0.60499999999999998</v>
      </c>
      <c r="D43">
        <f t="shared" si="2"/>
        <v>0.22999999999999976</v>
      </c>
      <c r="E43">
        <f>D43+Q$2</f>
        <v>0.39907999999999899</v>
      </c>
      <c r="F43" s="41" t="s">
        <v>158</v>
      </c>
      <c r="G43" s="41"/>
      <c r="H43" s="41"/>
      <c r="I43" s="41"/>
      <c r="J43" s="41"/>
      <c r="N43" s="28"/>
    </row>
    <row r="44" spans="1:14" x14ac:dyDescent="0.2">
      <c r="A44" t="s">
        <v>159</v>
      </c>
      <c r="B44">
        <v>1.37</v>
      </c>
      <c r="F44" s="30"/>
      <c r="N44" s="28"/>
    </row>
    <row r="45" spans="1:14" x14ac:dyDescent="0.2">
      <c r="A45" t="s">
        <v>99</v>
      </c>
      <c r="B45">
        <v>1.38</v>
      </c>
      <c r="C45">
        <f>B$44-B45+C$43</f>
        <v>0.5950000000000002</v>
      </c>
      <c r="D45">
        <f t="shared" si="2"/>
        <v>0.21999999999999997</v>
      </c>
      <c r="E45">
        <f t="shared" ref="E45:E50" si="7">D45+Q$2</f>
        <v>0.3890799999999992</v>
      </c>
      <c r="F45" s="41"/>
      <c r="G45" s="41"/>
      <c r="H45" s="41"/>
      <c r="I45" s="41"/>
      <c r="J45" s="41"/>
      <c r="N45" s="28"/>
    </row>
    <row r="46" spans="1:14" x14ac:dyDescent="0.2">
      <c r="A46" t="s">
        <v>100</v>
      </c>
      <c r="B46">
        <v>1.42</v>
      </c>
      <c r="C46">
        <f t="shared" ref="C46:C50" si="8">B$44-B46+C$43</f>
        <v>0.55500000000000016</v>
      </c>
      <c r="D46">
        <f t="shared" si="2"/>
        <v>0.17999999999999994</v>
      </c>
      <c r="E46">
        <f t="shared" si="7"/>
        <v>0.34907999999999917</v>
      </c>
      <c r="F46" s="41" t="s">
        <v>160</v>
      </c>
      <c r="G46" s="41"/>
      <c r="H46" s="41"/>
      <c r="I46" s="41"/>
      <c r="J46" s="41"/>
      <c r="N46" s="28"/>
    </row>
    <row r="47" spans="1:14" x14ac:dyDescent="0.2">
      <c r="A47" t="s">
        <v>102</v>
      </c>
      <c r="B47">
        <v>1.47</v>
      </c>
      <c r="C47">
        <f t="shared" si="8"/>
        <v>0.50500000000000012</v>
      </c>
      <c r="D47">
        <f t="shared" si="2"/>
        <v>0.12999999999999989</v>
      </c>
      <c r="E47">
        <f t="shared" si="7"/>
        <v>0.29907999999999912</v>
      </c>
      <c r="F47" s="41"/>
      <c r="G47" s="41"/>
      <c r="H47" s="41"/>
      <c r="I47" s="41"/>
      <c r="J47" s="41"/>
      <c r="N47" s="28"/>
    </row>
    <row r="48" spans="1:14" x14ac:dyDescent="0.2">
      <c r="A48" t="s">
        <v>161</v>
      </c>
      <c r="B48">
        <v>1.55</v>
      </c>
      <c r="C48">
        <f t="shared" si="8"/>
        <v>0.42500000000000004</v>
      </c>
      <c r="D48">
        <f t="shared" si="2"/>
        <v>4.9999999999999822E-2</v>
      </c>
      <c r="E48">
        <f t="shared" si="7"/>
        <v>0.21907999999999905</v>
      </c>
      <c r="F48" s="41"/>
      <c r="G48" s="41"/>
      <c r="H48" s="41"/>
      <c r="I48" s="41"/>
      <c r="J48" s="41"/>
      <c r="N48" s="28"/>
    </row>
    <row r="49" spans="1:14" x14ac:dyDescent="0.2">
      <c r="A49" t="s">
        <v>162</v>
      </c>
      <c r="B49">
        <v>1.59</v>
      </c>
      <c r="C49">
        <f t="shared" si="8"/>
        <v>0.38500000000000001</v>
      </c>
      <c r="D49">
        <f t="shared" si="2"/>
        <v>9.9999999999997868E-3</v>
      </c>
      <c r="E49">
        <f t="shared" si="7"/>
        <v>0.17907999999999902</v>
      </c>
      <c r="F49" t="s">
        <v>163</v>
      </c>
      <c r="N49" s="28"/>
    </row>
    <row r="50" spans="1:14" x14ac:dyDescent="0.2">
      <c r="A50" t="s">
        <v>164</v>
      </c>
      <c r="B50">
        <v>1.85</v>
      </c>
      <c r="C50" s="37">
        <f t="shared" si="8"/>
        <v>0.125</v>
      </c>
      <c r="D50" s="30">
        <f t="shared" si="2"/>
        <v>-0.25000000000000022</v>
      </c>
      <c r="E50" s="30">
        <f t="shared" si="7"/>
        <v>-8.0920000000000991E-2</v>
      </c>
      <c r="F50" t="s">
        <v>165</v>
      </c>
      <c r="N50" s="28"/>
    </row>
    <row r="51" spans="1:14" x14ac:dyDescent="0.2">
      <c r="N51" s="28"/>
    </row>
    <row r="53" spans="1:14" x14ac:dyDescent="0.2">
      <c r="A53" s="5" t="s">
        <v>463</v>
      </c>
    </row>
    <row r="54" spans="1:14" x14ac:dyDescent="0.2">
      <c r="A54" t="s">
        <v>81</v>
      </c>
      <c r="B54">
        <f>SUM(B44,B40,B37,B34,B30,B24,B19,B15,B6)</f>
        <v>13.88</v>
      </c>
    </row>
    <row r="55" spans="1:14" x14ac:dyDescent="0.2">
      <c r="A55" t="s">
        <v>79</v>
      </c>
      <c r="B55">
        <f>SUM(B14,B18,B23,B29,B33,B36,B39,B43,B50)</f>
        <v>13.755000000000001</v>
      </c>
    </row>
    <row r="56" spans="1:14" x14ac:dyDescent="0.2">
      <c r="A56" t="s">
        <v>462</v>
      </c>
      <c r="B56" s="37">
        <f>B54-B55</f>
        <v>0.125</v>
      </c>
    </row>
  </sheetData>
  <conditionalFormatting sqref="A6:A50">
    <cfRule type="containsText" dxfId="1" priority="1" operator="containsText" text="BS">
      <formula>NOT(ISERROR(SEARCH("BS",A6)))</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6F1D9-40AB-0D46-A1F8-2BF71D97D80C}">
  <sheetPr>
    <tabColor theme="2" tint="-0.249977111117893"/>
  </sheetPr>
  <dimension ref="A1:G56"/>
  <sheetViews>
    <sheetView topLeftCell="A2" workbookViewId="0">
      <selection activeCell="O39" sqref="O39"/>
    </sheetView>
  </sheetViews>
  <sheetFormatPr baseColWidth="10" defaultColWidth="11" defaultRowHeight="16" x14ac:dyDescent="0.2"/>
  <cols>
    <col min="3" max="3" width="12.5" bestFit="1" customWidth="1"/>
  </cols>
  <sheetData>
    <row r="1" spans="1:7" x14ac:dyDescent="0.2">
      <c r="A1" t="s">
        <v>0</v>
      </c>
      <c r="B1" t="s">
        <v>131</v>
      </c>
    </row>
    <row r="2" spans="1:7" x14ac:dyDescent="0.2">
      <c r="A2" t="s">
        <v>2</v>
      </c>
      <c r="B2" s="1">
        <v>43603</v>
      </c>
    </row>
    <row r="3" spans="1:7" x14ac:dyDescent="0.2">
      <c r="A3" t="s">
        <v>4</v>
      </c>
      <c r="B3" t="s">
        <v>132</v>
      </c>
      <c r="G3" s="5" t="s">
        <v>460</v>
      </c>
    </row>
    <row r="5" spans="1:7" x14ac:dyDescent="0.2">
      <c r="A5" t="s">
        <v>6</v>
      </c>
      <c r="B5" t="s">
        <v>7</v>
      </c>
      <c r="C5" t="s">
        <v>8</v>
      </c>
      <c r="D5" t="s">
        <v>9</v>
      </c>
    </row>
    <row r="6" spans="1:7" x14ac:dyDescent="0.2">
      <c r="A6" t="s">
        <v>10</v>
      </c>
      <c r="B6">
        <v>2.16</v>
      </c>
      <c r="C6">
        <f>B$6-B7</f>
        <v>0.32000000000000006</v>
      </c>
      <c r="D6" t="s">
        <v>133</v>
      </c>
    </row>
    <row r="7" spans="1:7" x14ac:dyDescent="0.2">
      <c r="A7" t="s">
        <v>12</v>
      </c>
      <c r="B7">
        <v>1.84</v>
      </c>
      <c r="C7">
        <f t="shared" ref="C7:C12" si="0">B$6-B8</f>
        <v>0.49000000000000021</v>
      </c>
      <c r="D7" t="s">
        <v>134</v>
      </c>
    </row>
    <row r="8" spans="1:7" x14ac:dyDescent="0.2">
      <c r="A8" t="s">
        <v>14</v>
      </c>
      <c r="B8">
        <v>1.67</v>
      </c>
      <c r="C8">
        <f t="shared" si="0"/>
        <v>0.56000000000000005</v>
      </c>
      <c r="D8" t="s">
        <v>135</v>
      </c>
    </row>
    <row r="9" spans="1:7" x14ac:dyDescent="0.2">
      <c r="A9" t="s">
        <v>16</v>
      </c>
      <c r="B9">
        <v>1.6</v>
      </c>
      <c r="C9">
        <f t="shared" si="0"/>
        <v>0.58000000000000007</v>
      </c>
    </row>
    <row r="10" spans="1:7" x14ac:dyDescent="0.2">
      <c r="A10" t="s">
        <v>18</v>
      </c>
      <c r="B10">
        <v>1.58</v>
      </c>
      <c r="C10">
        <f t="shared" si="0"/>
        <v>0.63000000000000012</v>
      </c>
    </row>
    <row r="11" spans="1:7" x14ac:dyDescent="0.2">
      <c r="A11" t="s">
        <v>20</v>
      </c>
      <c r="B11">
        <v>1.53</v>
      </c>
      <c r="C11">
        <f t="shared" si="0"/>
        <v>0.67000000000000015</v>
      </c>
      <c r="D11" t="s">
        <v>136</v>
      </c>
    </row>
    <row r="12" spans="1:7" x14ac:dyDescent="0.2">
      <c r="A12" t="s">
        <v>21</v>
      </c>
      <c r="B12">
        <v>1.49</v>
      </c>
      <c r="C12">
        <f t="shared" si="0"/>
        <v>0.67000000000000015</v>
      </c>
    </row>
    <row r="13" spans="1:7" x14ac:dyDescent="0.2">
      <c r="A13" t="s">
        <v>22</v>
      </c>
      <c r="B13">
        <v>1.49</v>
      </c>
      <c r="C13">
        <f>B$6-B14</f>
        <v>0.65500000000000025</v>
      </c>
      <c r="D13" t="s">
        <v>137</v>
      </c>
    </row>
    <row r="14" spans="1:7" x14ac:dyDescent="0.2">
      <c r="A14" t="s">
        <v>23</v>
      </c>
      <c r="B14">
        <v>1.5049999999999999</v>
      </c>
      <c r="C14">
        <f>B$6-B15</f>
        <v>0.76000000000000023</v>
      </c>
      <c r="D14" t="s">
        <v>138</v>
      </c>
    </row>
    <row r="15" spans="1:7" x14ac:dyDescent="0.2">
      <c r="A15" t="s">
        <v>25</v>
      </c>
      <c r="B15">
        <v>1.4</v>
      </c>
    </row>
    <row r="16" spans="1:7" x14ac:dyDescent="0.2">
      <c r="A16" t="s">
        <v>26</v>
      </c>
      <c r="B16">
        <v>1.405</v>
      </c>
      <c r="C16">
        <f>B$15-B16+C$14</f>
        <v>0.75500000000000012</v>
      </c>
      <c r="D16" t="s">
        <v>139</v>
      </c>
    </row>
    <row r="17" spans="1:4" x14ac:dyDescent="0.2">
      <c r="A17" t="s">
        <v>29</v>
      </c>
      <c r="B17">
        <v>1.4</v>
      </c>
      <c r="C17">
        <f t="shared" ref="C17" si="1">B$15-B17+C$14</f>
        <v>0.76000000000000023</v>
      </c>
      <c r="D17" t="s">
        <v>140</v>
      </c>
    </row>
    <row r="18" spans="1:4" x14ac:dyDescent="0.2">
      <c r="A18" t="s">
        <v>30</v>
      </c>
      <c r="B18">
        <v>1.42</v>
      </c>
      <c r="C18">
        <f>B$15-B18+C$14</f>
        <v>0.74000000000000021</v>
      </c>
    </row>
    <row r="19" spans="1:4" x14ac:dyDescent="0.2">
      <c r="A19" t="s">
        <v>141</v>
      </c>
      <c r="B19">
        <v>1.66</v>
      </c>
    </row>
    <row r="20" spans="1:4" x14ac:dyDescent="0.2">
      <c r="A20" t="s">
        <v>31</v>
      </c>
      <c r="B20">
        <v>1.69</v>
      </c>
      <c r="C20">
        <f>B$20-B21+C$18</f>
        <v>0.7300000000000002</v>
      </c>
    </row>
    <row r="21" spans="1:4" x14ac:dyDescent="0.2">
      <c r="A21" t="s">
        <v>32</v>
      </c>
      <c r="B21">
        <v>1.7</v>
      </c>
      <c r="C21">
        <f t="shared" ref="C21:C23" si="2">B$20-B22+C$18</f>
        <v>0.56000000000000005</v>
      </c>
      <c r="D21" t="s">
        <v>142</v>
      </c>
    </row>
    <row r="22" spans="1:4" x14ac:dyDescent="0.2">
      <c r="A22" t="s">
        <v>33</v>
      </c>
      <c r="B22">
        <v>1.87</v>
      </c>
      <c r="C22">
        <f t="shared" si="2"/>
        <v>0.52000000000000024</v>
      </c>
      <c r="D22" t="s">
        <v>143</v>
      </c>
    </row>
    <row r="23" spans="1:4" x14ac:dyDescent="0.2">
      <c r="A23" t="s">
        <v>35</v>
      </c>
      <c r="B23">
        <v>1.91</v>
      </c>
      <c r="C23">
        <f t="shared" si="2"/>
        <v>0.85000000000000009</v>
      </c>
      <c r="D23" t="s">
        <v>19</v>
      </c>
    </row>
    <row r="24" spans="1:4" x14ac:dyDescent="0.2">
      <c r="A24" t="s">
        <v>144</v>
      </c>
      <c r="B24">
        <v>1.58</v>
      </c>
    </row>
    <row r="25" spans="1:4" x14ac:dyDescent="0.2">
      <c r="A25" t="s">
        <v>145</v>
      </c>
      <c r="B25">
        <v>1.59</v>
      </c>
      <c r="C25">
        <f>B$24-B25+C$23</f>
        <v>0.84000000000000008</v>
      </c>
      <c r="D25" t="s">
        <v>19</v>
      </c>
    </row>
    <row r="26" spans="1:4" x14ac:dyDescent="0.2">
      <c r="A26" t="s">
        <v>37</v>
      </c>
      <c r="B26">
        <v>1.63</v>
      </c>
      <c r="C26">
        <f t="shared" ref="C26:C29" si="3">B$24-B26+C$23</f>
        <v>0.80000000000000027</v>
      </c>
      <c r="D26" t="s">
        <v>19</v>
      </c>
    </row>
    <row r="27" spans="1:4" x14ac:dyDescent="0.2">
      <c r="A27" t="s">
        <v>39</v>
      </c>
      <c r="B27">
        <v>1.58</v>
      </c>
      <c r="C27">
        <f t="shared" si="3"/>
        <v>0.85000000000000009</v>
      </c>
      <c r="D27" t="s">
        <v>146</v>
      </c>
    </row>
    <row r="28" spans="1:4" x14ac:dyDescent="0.2">
      <c r="A28" t="s">
        <v>147</v>
      </c>
      <c r="B28">
        <v>1.59</v>
      </c>
      <c r="C28">
        <f t="shared" si="3"/>
        <v>0.84000000000000008</v>
      </c>
    </row>
    <row r="29" spans="1:4" x14ac:dyDescent="0.2">
      <c r="A29" t="s">
        <v>40</v>
      </c>
      <c r="B29">
        <v>1.53</v>
      </c>
      <c r="C29">
        <f t="shared" si="3"/>
        <v>0.90000000000000013</v>
      </c>
      <c r="D29" t="s">
        <v>148</v>
      </c>
    </row>
    <row r="30" spans="1:4" x14ac:dyDescent="0.2">
      <c r="A30" t="s">
        <v>42</v>
      </c>
      <c r="B30">
        <v>1.45</v>
      </c>
    </row>
    <row r="31" spans="1:4" x14ac:dyDescent="0.2">
      <c r="A31" t="s">
        <v>49</v>
      </c>
      <c r="B31">
        <v>1.32</v>
      </c>
      <c r="C31">
        <f>B$30-B31+C$29</f>
        <v>1.03</v>
      </c>
      <c r="D31" t="s">
        <v>149</v>
      </c>
    </row>
    <row r="32" spans="1:4" x14ac:dyDescent="0.2">
      <c r="A32" t="s">
        <v>51</v>
      </c>
      <c r="B32">
        <v>1.29</v>
      </c>
      <c r="C32">
        <f t="shared" ref="C32:C33" si="4">B$30-B32+C$29</f>
        <v>1.06</v>
      </c>
    </row>
    <row r="33" spans="1:4" x14ac:dyDescent="0.2">
      <c r="A33" t="s">
        <v>150</v>
      </c>
      <c r="B33">
        <v>1.29</v>
      </c>
      <c r="C33">
        <f t="shared" si="4"/>
        <v>1.06</v>
      </c>
    </row>
    <row r="34" spans="1:4" x14ac:dyDescent="0.2">
      <c r="A34" t="s">
        <v>151</v>
      </c>
      <c r="B34">
        <v>1.4</v>
      </c>
    </row>
    <row r="35" spans="1:4" x14ac:dyDescent="0.2">
      <c r="A35" t="s">
        <v>89</v>
      </c>
      <c r="B35">
        <v>1.39</v>
      </c>
      <c r="C35">
        <f>B$34-B35+C$33</f>
        <v>1.07</v>
      </c>
    </row>
    <row r="36" spans="1:4" x14ac:dyDescent="0.2">
      <c r="A36" t="s">
        <v>57</v>
      </c>
      <c r="B36">
        <v>1.37</v>
      </c>
      <c r="C36">
        <f>B$34-B36+C$33</f>
        <v>1.0899999999999999</v>
      </c>
    </row>
    <row r="37" spans="1:4" x14ac:dyDescent="0.2">
      <c r="A37" t="s">
        <v>152</v>
      </c>
      <c r="B37">
        <v>1.43</v>
      </c>
    </row>
    <row r="38" spans="1:4" x14ac:dyDescent="0.2">
      <c r="A38" t="s">
        <v>60</v>
      </c>
      <c r="B38">
        <v>1.4</v>
      </c>
      <c r="C38">
        <f>B$37-B38+C$36</f>
        <v>1.1199999999999999</v>
      </c>
      <c r="D38" t="s">
        <v>153</v>
      </c>
    </row>
    <row r="39" spans="1:4" x14ac:dyDescent="0.2">
      <c r="A39" t="s">
        <v>154</v>
      </c>
      <c r="B39">
        <v>1.38</v>
      </c>
      <c r="C39">
        <f>B$37-B39+C$36</f>
        <v>1.1399999999999999</v>
      </c>
    </row>
    <row r="40" spans="1:4" x14ac:dyDescent="0.2">
      <c r="A40" t="s">
        <v>155</v>
      </c>
      <c r="B40">
        <v>1.43</v>
      </c>
    </row>
    <row r="41" spans="1:4" x14ac:dyDescent="0.2">
      <c r="A41" t="s">
        <v>62</v>
      </c>
      <c r="B41">
        <v>1.4</v>
      </c>
      <c r="C41">
        <f>B$40-B41+C$39</f>
        <v>1.17</v>
      </c>
      <c r="D41" t="s">
        <v>156</v>
      </c>
    </row>
    <row r="42" spans="1:4" x14ac:dyDescent="0.2">
      <c r="A42" t="s">
        <v>95</v>
      </c>
      <c r="B42">
        <v>1.49</v>
      </c>
      <c r="C42">
        <f t="shared" ref="C42:C43" si="5">B$40-B42+C$39</f>
        <v>1.0799999999999998</v>
      </c>
      <c r="D42" t="s">
        <v>157</v>
      </c>
    </row>
    <row r="43" spans="1:4" x14ac:dyDescent="0.2">
      <c r="A43" t="s">
        <v>98</v>
      </c>
      <c r="B43">
        <v>1.5</v>
      </c>
      <c r="C43">
        <f t="shared" si="5"/>
        <v>1.0699999999999998</v>
      </c>
      <c r="D43" t="s">
        <v>158</v>
      </c>
    </row>
    <row r="44" spans="1:4" x14ac:dyDescent="0.2">
      <c r="A44" t="s">
        <v>159</v>
      </c>
      <c r="B44">
        <v>1.37</v>
      </c>
    </row>
    <row r="45" spans="1:4" x14ac:dyDescent="0.2">
      <c r="A45" t="s">
        <v>99</v>
      </c>
      <c r="B45">
        <v>1.38</v>
      </c>
      <c r="C45">
        <f>B$44-B45+C$43</f>
        <v>1.06</v>
      </c>
    </row>
    <row r="46" spans="1:4" x14ac:dyDescent="0.2">
      <c r="A46" t="s">
        <v>100</v>
      </c>
      <c r="B46">
        <v>1.42</v>
      </c>
      <c r="C46">
        <f t="shared" ref="C46:C50" si="6">B$44-B46+C$43</f>
        <v>1.02</v>
      </c>
      <c r="D46" t="s">
        <v>160</v>
      </c>
    </row>
    <row r="47" spans="1:4" x14ac:dyDescent="0.2">
      <c r="A47" t="s">
        <v>102</v>
      </c>
      <c r="B47">
        <v>1.47</v>
      </c>
      <c r="C47">
        <f t="shared" si="6"/>
        <v>0.97</v>
      </c>
    </row>
    <row r="48" spans="1:4" x14ac:dyDescent="0.2">
      <c r="A48" t="s">
        <v>161</v>
      </c>
      <c r="B48">
        <v>1.55</v>
      </c>
      <c r="C48">
        <f t="shared" si="6"/>
        <v>0.8899999999999999</v>
      </c>
    </row>
    <row r="49" spans="1:4" x14ac:dyDescent="0.2">
      <c r="A49" t="s">
        <v>162</v>
      </c>
      <c r="B49">
        <v>1.59</v>
      </c>
      <c r="C49">
        <f t="shared" si="6"/>
        <v>0.84999999999999987</v>
      </c>
      <c r="D49" t="s">
        <v>163</v>
      </c>
    </row>
    <row r="50" spans="1:4" x14ac:dyDescent="0.2">
      <c r="A50" t="s">
        <v>164</v>
      </c>
      <c r="B50">
        <v>1.85</v>
      </c>
      <c r="C50" s="31">
        <f t="shared" si="6"/>
        <v>0.58999999999999986</v>
      </c>
      <c r="D50" t="s">
        <v>165</v>
      </c>
    </row>
    <row r="53" spans="1:4" x14ac:dyDescent="0.2">
      <c r="A53" s="5" t="s">
        <v>463</v>
      </c>
    </row>
    <row r="54" spans="1:4" x14ac:dyDescent="0.2">
      <c r="A54" s="3" t="s">
        <v>81</v>
      </c>
      <c r="B54">
        <f>SUM(B6,B15,B19,B24,B30,B34,B37,B40,B44)</f>
        <v>13.879999999999999</v>
      </c>
    </row>
    <row r="55" spans="1:4" x14ac:dyDescent="0.2">
      <c r="A55" s="3" t="s">
        <v>79</v>
      </c>
      <c r="B55">
        <f>SUM(B14,B18,B23,B29,B33,B36,B39,B43,B50)</f>
        <v>13.755000000000001</v>
      </c>
    </row>
    <row r="56" spans="1:4" x14ac:dyDescent="0.2">
      <c r="A56" s="3" t="s">
        <v>462</v>
      </c>
      <c r="B56" s="31">
        <f>B54-B55</f>
        <v>0.12499999999999822</v>
      </c>
    </row>
  </sheetData>
  <conditionalFormatting sqref="A6:A50">
    <cfRule type="containsText" dxfId="0" priority="1" operator="containsText" text="BS">
      <formula>NOT(ISERROR(SEARCH("BS",A6)))</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F27B6-CD59-7448-B0C8-86B1568D4E18}">
  <dimension ref="A1:R29"/>
  <sheetViews>
    <sheetView zoomScaleNormal="100" workbookViewId="0">
      <selection activeCell="E38" sqref="E38"/>
    </sheetView>
  </sheetViews>
  <sheetFormatPr baseColWidth="10" defaultColWidth="11" defaultRowHeight="16" x14ac:dyDescent="0.2"/>
  <cols>
    <col min="3" max="3" width="12.5" bestFit="1" customWidth="1"/>
    <col min="4" max="4" width="23" bestFit="1" customWidth="1"/>
    <col min="5" max="5" width="20.5" bestFit="1" customWidth="1"/>
    <col min="14" max="14" width="17" bestFit="1" customWidth="1"/>
    <col min="16" max="16" width="13.6640625" bestFit="1" customWidth="1"/>
    <col min="18" max="18" width="17" bestFit="1" customWidth="1"/>
  </cols>
  <sheetData>
    <row r="1" spans="1:18" x14ac:dyDescent="0.2">
      <c r="A1" t="s">
        <v>0</v>
      </c>
      <c r="B1" t="s">
        <v>166</v>
      </c>
      <c r="J1" s="5" t="s">
        <v>461</v>
      </c>
      <c r="O1" s="32" t="s">
        <v>487</v>
      </c>
      <c r="P1" s="32" t="s">
        <v>465</v>
      </c>
      <c r="Q1" s="32" t="s">
        <v>464</v>
      </c>
      <c r="R1" s="32" t="s">
        <v>467</v>
      </c>
    </row>
    <row r="2" spans="1:18" x14ac:dyDescent="0.2">
      <c r="A2" t="s">
        <v>2</v>
      </c>
      <c r="B2" s="8">
        <v>43604</v>
      </c>
      <c r="C2" s="8"/>
      <c r="D2" s="8"/>
      <c r="E2" s="8"/>
      <c r="P2" s="35">
        <v>-4.5718100000000002</v>
      </c>
      <c r="Q2" s="35">
        <v>-4.6375200000000003</v>
      </c>
      <c r="R2">
        <f>P2-Q2</f>
        <v>6.5710000000000157E-2</v>
      </c>
    </row>
    <row r="3" spans="1:18" x14ac:dyDescent="0.2">
      <c r="A3" t="s">
        <v>4</v>
      </c>
      <c r="B3" t="s">
        <v>167</v>
      </c>
      <c r="K3" t="s">
        <v>350</v>
      </c>
    </row>
    <row r="4" spans="1:18" x14ac:dyDescent="0.2">
      <c r="O4" s="28"/>
    </row>
    <row r="5" spans="1:18" x14ac:dyDescent="0.2">
      <c r="A5" t="s">
        <v>6</v>
      </c>
      <c r="B5" t="s">
        <v>168</v>
      </c>
      <c r="C5" t="s">
        <v>8</v>
      </c>
      <c r="D5" t="s">
        <v>505</v>
      </c>
      <c r="E5" t="s">
        <v>480</v>
      </c>
      <c r="F5" t="s">
        <v>169</v>
      </c>
      <c r="N5" s="40" t="s">
        <v>488</v>
      </c>
      <c r="O5" s="68"/>
    </row>
    <row r="6" spans="1:18" x14ac:dyDescent="0.2">
      <c r="A6" s="33" t="s">
        <v>170</v>
      </c>
      <c r="B6" s="33">
        <v>1.83</v>
      </c>
      <c r="C6" s="33">
        <v>0</v>
      </c>
      <c r="D6" s="33"/>
      <c r="E6" s="33"/>
      <c r="N6" s="41" t="s">
        <v>483</v>
      </c>
      <c r="O6" s="69"/>
    </row>
    <row r="7" spans="1:18" x14ac:dyDescent="0.2">
      <c r="A7" t="s">
        <v>171</v>
      </c>
      <c r="B7">
        <v>1.825</v>
      </c>
      <c r="C7">
        <f>B$6-B7</f>
        <v>5.0000000000001155E-3</v>
      </c>
      <c r="D7">
        <f>C7-C$6</f>
        <v>5.0000000000001155E-3</v>
      </c>
      <c r="E7">
        <f>D7+R$2</f>
        <v>7.0710000000000273E-2</v>
      </c>
      <c r="F7" t="s">
        <v>172</v>
      </c>
      <c r="N7" s="41"/>
      <c r="O7" s="69"/>
    </row>
    <row r="8" spans="1:18" x14ac:dyDescent="0.2">
      <c r="A8" t="s">
        <v>12</v>
      </c>
      <c r="B8">
        <v>1.71</v>
      </c>
      <c r="C8">
        <f t="shared" ref="C8:C10" si="0">B$6-B8</f>
        <v>0.12000000000000011</v>
      </c>
      <c r="D8">
        <f t="shared" ref="D8:D24" si="1">C8-C$6</f>
        <v>0.12000000000000011</v>
      </c>
      <c r="E8">
        <f>D8+R$2</f>
        <v>0.18571000000000026</v>
      </c>
      <c r="F8" t="s">
        <v>173</v>
      </c>
      <c r="N8" s="41"/>
      <c r="O8" s="69"/>
    </row>
    <row r="9" spans="1:18" x14ac:dyDescent="0.2">
      <c r="A9" t="s">
        <v>14</v>
      </c>
      <c r="B9">
        <v>1.595</v>
      </c>
      <c r="C9">
        <f t="shared" si="0"/>
        <v>0.2350000000000001</v>
      </c>
      <c r="D9">
        <f t="shared" si="1"/>
        <v>0.2350000000000001</v>
      </c>
      <c r="E9">
        <f>D9+R$2</f>
        <v>0.30071000000000025</v>
      </c>
      <c r="F9" t="s">
        <v>174</v>
      </c>
      <c r="N9" s="41"/>
      <c r="O9" s="69"/>
    </row>
    <row r="10" spans="1:18" x14ac:dyDescent="0.2">
      <c r="A10" t="s">
        <v>16</v>
      </c>
      <c r="B10">
        <v>1.5</v>
      </c>
      <c r="C10">
        <f t="shared" si="0"/>
        <v>0.33000000000000007</v>
      </c>
      <c r="D10">
        <f t="shared" si="1"/>
        <v>0.33000000000000007</v>
      </c>
      <c r="E10">
        <f>D10+R$2</f>
        <v>0.39571000000000023</v>
      </c>
      <c r="N10" s="41"/>
      <c r="O10" s="69"/>
    </row>
    <row r="11" spans="1:18" x14ac:dyDescent="0.2">
      <c r="A11" s="29" t="s">
        <v>175</v>
      </c>
      <c r="B11">
        <v>1.68</v>
      </c>
      <c r="N11" s="41">
        <f>MIN(E$12:E$14,E$16:E$20)</f>
        <v>0.39071000000000033</v>
      </c>
      <c r="O11" s="69" t="s">
        <v>475</v>
      </c>
    </row>
    <row r="12" spans="1:18" x14ac:dyDescent="0.2">
      <c r="A12" t="s">
        <v>18</v>
      </c>
      <c r="B12">
        <v>1.635</v>
      </c>
      <c r="C12">
        <f>B$11-B12+C$10</f>
        <v>0.375</v>
      </c>
      <c r="D12">
        <f t="shared" si="1"/>
        <v>0.375</v>
      </c>
      <c r="E12">
        <f>D12+R$2</f>
        <v>0.44071000000000016</v>
      </c>
      <c r="F12" s="41" t="s">
        <v>176</v>
      </c>
      <c r="G12" s="41"/>
      <c r="H12" s="41"/>
      <c r="I12" s="41"/>
      <c r="J12" s="41"/>
      <c r="K12" s="41"/>
      <c r="L12" s="41"/>
      <c r="M12" s="41"/>
      <c r="N12" s="41">
        <f>MAX(E$12:E$14,E$16:E$20)</f>
        <v>0.50571000000000033</v>
      </c>
      <c r="O12" s="69" t="s">
        <v>476</v>
      </c>
    </row>
    <row r="13" spans="1:18" x14ac:dyDescent="0.2">
      <c r="A13" t="s">
        <v>20</v>
      </c>
      <c r="B13">
        <v>1.63</v>
      </c>
      <c r="C13">
        <f t="shared" ref="C13" si="2">B$11-B13+C$10</f>
        <v>0.38000000000000012</v>
      </c>
      <c r="D13">
        <f t="shared" si="1"/>
        <v>0.38000000000000012</v>
      </c>
      <c r="E13">
        <f>D13+R$2</f>
        <v>0.44571000000000027</v>
      </c>
      <c r="F13" s="41" t="s">
        <v>177</v>
      </c>
      <c r="G13" s="41"/>
      <c r="H13" s="41"/>
      <c r="I13" s="41"/>
      <c r="J13" s="41"/>
      <c r="K13" s="41"/>
      <c r="L13" s="41"/>
      <c r="M13" s="41"/>
      <c r="N13" s="41"/>
      <c r="O13" s="69"/>
    </row>
    <row r="14" spans="1:18" x14ac:dyDescent="0.2">
      <c r="A14" t="s">
        <v>21</v>
      </c>
      <c r="B14">
        <v>1.63</v>
      </c>
      <c r="C14">
        <f>B$11-B14+C$10</f>
        <v>0.38000000000000012</v>
      </c>
      <c r="D14">
        <f t="shared" si="1"/>
        <v>0.38000000000000012</v>
      </c>
      <c r="E14">
        <f>D14+R$2</f>
        <v>0.44571000000000027</v>
      </c>
      <c r="F14" s="41" t="s">
        <v>178</v>
      </c>
      <c r="G14" s="41"/>
      <c r="H14" s="41"/>
      <c r="I14" s="41"/>
      <c r="J14" s="41"/>
      <c r="K14" s="41"/>
      <c r="L14" s="41"/>
      <c r="M14" s="41"/>
      <c r="N14" s="41" cm="1">
        <f t="array" ref="N14:N16">E12:E14</f>
        <v>0.44071000000000016</v>
      </c>
      <c r="O14" s="69"/>
    </row>
    <row r="15" spans="1:18" x14ac:dyDescent="0.2">
      <c r="A15" s="29" t="s">
        <v>179</v>
      </c>
      <c r="B15">
        <v>1.4750000000000001</v>
      </c>
      <c r="F15" s="30"/>
      <c r="N15" s="41">
        <v>0.44571000000000027</v>
      </c>
      <c r="O15" s="69"/>
    </row>
    <row r="16" spans="1:18" x14ac:dyDescent="0.2">
      <c r="A16" t="s">
        <v>22</v>
      </c>
      <c r="B16">
        <v>1.48</v>
      </c>
      <c r="C16">
        <f>B$15-B16+C$14</f>
        <v>0.37500000000000022</v>
      </c>
      <c r="D16">
        <f t="shared" si="1"/>
        <v>0.37500000000000022</v>
      </c>
      <c r="E16">
        <f t="shared" ref="E16:E24" si="3">D16+R$2</f>
        <v>0.44071000000000038</v>
      </c>
      <c r="F16" s="41" t="s">
        <v>19</v>
      </c>
      <c r="G16" s="41"/>
      <c r="H16" s="41"/>
      <c r="I16" s="41"/>
      <c r="J16" s="41"/>
      <c r="K16" s="41"/>
      <c r="L16" s="41"/>
      <c r="M16" s="41"/>
      <c r="N16" s="41">
        <v>0.44571000000000027</v>
      </c>
      <c r="O16" s="69"/>
    </row>
    <row r="17" spans="1:15" x14ac:dyDescent="0.2">
      <c r="A17" t="s">
        <v>23</v>
      </c>
      <c r="B17">
        <v>1.46</v>
      </c>
      <c r="C17">
        <f t="shared" ref="C17:C23" si="4">B$15-B17+C$14</f>
        <v>0.39500000000000024</v>
      </c>
      <c r="D17">
        <f t="shared" si="1"/>
        <v>0.39500000000000024</v>
      </c>
      <c r="E17">
        <f t="shared" si="3"/>
        <v>0.4607100000000004</v>
      </c>
      <c r="F17" s="41" t="s">
        <v>180</v>
      </c>
      <c r="G17" s="41"/>
      <c r="H17" s="41"/>
      <c r="I17" s="41"/>
      <c r="J17" s="41"/>
      <c r="K17" s="41"/>
      <c r="L17" s="41"/>
      <c r="M17" s="41"/>
      <c r="N17" s="41" cm="1">
        <f t="array" ref="N17:N21">E16:E20</f>
        <v>0.44071000000000038</v>
      </c>
      <c r="O17" s="69"/>
    </row>
    <row r="18" spans="1:15" x14ac:dyDescent="0.2">
      <c r="A18" t="s">
        <v>26</v>
      </c>
      <c r="B18">
        <v>1.415</v>
      </c>
      <c r="C18">
        <f t="shared" si="4"/>
        <v>0.44000000000000017</v>
      </c>
      <c r="D18">
        <f t="shared" si="1"/>
        <v>0.44000000000000017</v>
      </c>
      <c r="E18">
        <f t="shared" si="3"/>
        <v>0.50571000000000033</v>
      </c>
      <c r="F18" s="41" t="s">
        <v>181</v>
      </c>
      <c r="G18" s="41"/>
      <c r="H18" s="41"/>
      <c r="I18" s="41"/>
      <c r="J18" s="41"/>
      <c r="K18" s="41"/>
      <c r="L18" s="41"/>
      <c r="M18" s="41"/>
      <c r="N18" s="41">
        <v>0.4607100000000004</v>
      </c>
      <c r="O18" s="69"/>
    </row>
    <row r="19" spans="1:15" x14ac:dyDescent="0.2">
      <c r="A19" t="s">
        <v>29</v>
      </c>
      <c r="B19">
        <v>1.4550000000000001</v>
      </c>
      <c r="C19">
        <f t="shared" si="4"/>
        <v>0.40000000000000013</v>
      </c>
      <c r="D19">
        <f t="shared" si="1"/>
        <v>0.40000000000000013</v>
      </c>
      <c r="E19">
        <f t="shared" si="3"/>
        <v>0.46571000000000029</v>
      </c>
      <c r="F19" s="41" t="s">
        <v>182</v>
      </c>
      <c r="G19" s="41"/>
      <c r="H19" s="41"/>
      <c r="I19" s="41"/>
      <c r="J19" s="41"/>
      <c r="K19" s="41"/>
      <c r="L19" s="41"/>
      <c r="M19" s="41"/>
      <c r="N19" s="41">
        <v>0.50571000000000033</v>
      </c>
      <c r="O19" s="69"/>
    </row>
    <row r="20" spans="1:15" x14ac:dyDescent="0.2">
      <c r="A20" t="s">
        <v>30</v>
      </c>
      <c r="B20">
        <v>1.53</v>
      </c>
      <c r="C20">
        <f t="shared" si="4"/>
        <v>0.32500000000000018</v>
      </c>
      <c r="D20">
        <f t="shared" si="1"/>
        <v>0.32500000000000018</v>
      </c>
      <c r="E20">
        <f t="shared" si="3"/>
        <v>0.39071000000000033</v>
      </c>
      <c r="F20" s="41" t="s">
        <v>183</v>
      </c>
      <c r="G20" s="41"/>
      <c r="H20" s="41"/>
      <c r="I20" s="41"/>
      <c r="J20" s="41"/>
      <c r="K20" s="41"/>
      <c r="L20" s="41"/>
      <c r="M20" s="41"/>
      <c r="N20" s="41">
        <v>0.46571000000000029</v>
      </c>
      <c r="O20" s="69"/>
    </row>
    <row r="21" spans="1:15" x14ac:dyDescent="0.2">
      <c r="A21" t="s">
        <v>31</v>
      </c>
      <c r="B21">
        <v>1.58</v>
      </c>
      <c r="C21">
        <f t="shared" si="4"/>
        <v>0.27500000000000013</v>
      </c>
      <c r="D21">
        <f t="shared" si="1"/>
        <v>0.27500000000000013</v>
      </c>
      <c r="E21">
        <f t="shared" si="3"/>
        <v>0.34071000000000029</v>
      </c>
      <c r="F21" t="s">
        <v>184</v>
      </c>
      <c r="N21" s="41">
        <v>0.39071000000000033</v>
      </c>
      <c r="O21" s="69"/>
    </row>
    <row r="22" spans="1:15" x14ac:dyDescent="0.2">
      <c r="A22" t="s">
        <v>32</v>
      </c>
      <c r="B22">
        <v>1.77</v>
      </c>
      <c r="C22">
        <f t="shared" si="4"/>
        <v>8.5000000000000187E-2</v>
      </c>
      <c r="D22">
        <f t="shared" si="1"/>
        <v>8.5000000000000187E-2</v>
      </c>
      <c r="E22">
        <f t="shared" si="3"/>
        <v>0.15071000000000034</v>
      </c>
      <c r="F22" t="s">
        <v>185</v>
      </c>
      <c r="O22" s="28"/>
    </row>
    <row r="23" spans="1:15" x14ac:dyDescent="0.2">
      <c r="A23" t="s">
        <v>33</v>
      </c>
      <c r="B23">
        <v>2.02</v>
      </c>
      <c r="C23">
        <f t="shared" si="4"/>
        <v>-0.16499999999999981</v>
      </c>
      <c r="D23">
        <f t="shared" si="1"/>
        <v>-0.16499999999999981</v>
      </c>
      <c r="E23">
        <f t="shared" si="3"/>
        <v>-9.9289999999999656E-2</v>
      </c>
      <c r="F23" t="s">
        <v>186</v>
      </c>
      <c r="O23" s="28"/>
    </row>
    <row r="24" spans="1:15" x14ac:dyDescent="0.2">
      <c r="A24" t="s">
        <v>35</v>
      </c>
      <c r="B24">
        <v>2.12</v>
      </c>
      <c r="C24" s="43">
        <f>B$15-B24+C$14</f>
        <v>-0.2649999999999999</v>
      </c>
      <c r="D24" s="42">
        <f t="shared" si="1"/>
        <v>-0.2649999999999999</v>
      </c>
      <c r="E24" s="42">
        <f t="shared" si="3"/>
        <v>-0.19928999999999975</v>
      </c>
      <c r="O24" s="28"/>
    </row>
    <row r="26" spans="1:15" x14ac:dyDescent="0.2">
      <c r="B26" s="5" t="s">
        <v>463</v>
      </c>
    </row>
    <row r="27" spans="1:15" x14ac:dyDescent="0.2">
      <c r="B27" t="s">
        <v>81</v>
      </c>
      <c r="C27">
        <f>SUM(B6,B11,B15)</f>
        <v>4.9849999999999994</v>
      </c>
    </row>
    <row r="28" spans="1:15" x14ac:dyDescent="0.2">
      <c r="B28" t="s">
        <v>79</v>
      </c>
      <c r="C28">
        <f>SUM(B10,B14,B24)</f>
        <v>5.25</v>
      </c>
    </row>
    <row r="29" spans="1:15" x14ac:dyDescent="0.2">
      <c r="B29" t="s">
        <v>462</v>
      </c>
      <c r="C29" s="43">
        <f>C27-C28</f>
        <v>-0.26500000000000057</v>
      </c>
      <c r="D29" s="42"/>
      <c r="E29" s="42"/>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BEE9F-695F-FE4A-99CF-3DD9DECCF947}">
  <dimension ref="A1:M60"/>
  <sheetViews>
    <sheetView workbookViewId="0">
      <selection activeCell="R42" sqref="R42"/>
    </sheetView>
  </sheetViews>
  <sheetFormatPr baseColWidth="10" defaultColWidth="11" defaultRowHeight="16" x14ac:dyDescent="0.2"/>
  <sheetData>
    <row r="1" spans="1:13" x14ac:dyDescent="0.2">
      <c r="A1" s="5" t="s">
        <v>187</v>
      </c>
    </row>
    <row r="2" spans="1:13" x14ac:dyDescent="0.2">
      <c r="A2" t="s">
        <v>188</v>
      </c>
    </row>
    <row r="3" spans="1:13" x14ac:dyDescent="0.2">
      <c r="A3" t="s">
        <v>189</v>
      </c>
    </row>
    <row r="4" spans="1:13" x14ac:dyDescent="0.2">
      <c r="L4">
        <v>0</v>
      </c>
      <c r="M4">
        <v>0</v>
      </c>
    </row>
    <row r="5" spans="1:13" x14ac:dyDescent="0.2">
      <c r="A5" t="s">
        <v>190</v>
      </c>
      <c r="B5">
        <v>16.83099</v>
      </c>
      <c r="C5">
        <v>-88.105339999999998</v>
      </c>
      <c r="L5">
        <v>12</v>
      </c>
      <c r="M5">
        <v>0</v>
      </c>
    </row>
    <row r="6" spans="1:13" x14ac:dyDescent="0.2">
      <c r="A6" t="s">
        <v>191</v>
      </c>
      <c r="B6" t="s">
        <v>192</v>
      </c>
    </row>
    <row r="7" spans="1:13" x14ac:dyDescent="0.2">
      <c r="A7" t="s">
        <v>193</v>
      </c>
      <c r="B7" t="s">
        <v>194</v>
      </c>
    </row>
    <row r="8" spans="1:13" x14ac:dyDescent="0.2">
      <c r="A8" t="s">
        <v>195</v>
      </c>
      <c r="B8" t="s">
        <v>196</v>
      </c>
    </row>
    <row r="9" spans="1:13" x14ac:dyDescent="0.2">
      <c r="A9" t="s">
        <v>197</v>
      </c>
      <c r="B9" t="s">
        <v>198</v>
      </c>
    </row>
    <row r="11" spans="1:13" x14ac:dyDescent="0.2">
      <c r="A11" t="s">
        <v>199</v>
      </c>
      <c r="B11">
        <v>16.83033</v>
      </c>
      <c r="C11">
        <v>-88.105900000000005</v>
      </c>
    </row>
    <row r="12" spans="1:13" x14ac:dyDescent="0.2">
      <c r="A12" t="s">
        <v>191</v>
      </c>
      <c r="B12" t="s">
        <v>192</v>
      </c>
    </row>
    <row r="13" spans="1:13" x14ac:dyDescent="0.2">
      <c r="A13" t="s">
        <v>200</v>
      </c>
      <c r="B13" t="s">
        <v>194</v>
      </c>
    </row>
    <row r="14" spans="1:13" x14ac:dyDescent="0.2">
      <c r="A14" t="s">
        <v>201</v>
      </c>
      <c r="B14" t="s">
        <v>202</v>
      </c>
    </row>
    <row r="15" spans="1:13" x14ac:dyDescent="0.2">
      <c r="A15" t="s">
        <v>203</v>
      </c>
      <c r="B15" t="s">
        <v>198</v>
      </c>
    </row>
    <row r="16" spans="1:13" x14ac:dyDescent="0.2">
      <c r="A16">
        <v>844</v>
      </c>
      <c r="B16" t="s">
        <v>204</v>
      </c>
    </row>
    <row r="18" spans="1:3" x14ac:dyDescent="0.2">
      <c r="A18" t="s">
        <v>205</v>
      </c>
      <c r="B18">
        <v>16.829599999999999</v>
      </c>
      <c r="C18">
        <v>-88.106520000000003</v>
      </c>
    </row>
    <row r="19" spans="1:3" x14ac:dyDescent="0.2">
      <c r="A19" t="s">
        <v>191</v>
      </c>
      <c r="B19" t="s">
        <v>192</v>
      </c>
    </row>
    <row r="20" spans="1:3" x14ac:dyDescent="0.2">
      <c r="A20" t="s">
        <v>193</v>
      </c>
      <c r="B20" t="s">
        <v>206</v>
      </c>
    </row>
    <row r="21" spans="1:3" x14ac:dyDescent="0.2">
      <c r="A21" t="s">
        <v>207</v>
      </c>
      <c r="B21" t="s">
        <v>196</v>
      </c>
    </row>
    <row r="22" spans="1:3" x14ac:dyDescent="0.2">
      <c r="A22" t="s">
        <v>208</v>
      </c>
      <c r="B22" t="s">
        <v>198</v>
      </c>
    </row>
    <row r="23" spans="1:3" x14ac:dyDescent="0.2">
      <c r="A23">
        <v>1100</v>
      </c>
      <c r="B23" t="s">
        <v>204</v>
      </c>
    </row>
    <row r="25" spans="1:3" x14ac:dyDescent="0.2">
      <c r="A25" t="s">
        <v>209</v>
      </c>
      <c r="B25">
        <v>16.8292</v>
      </c>
      <c r="C25">
        <v>-88.106880000000004</v>
      </c>
    </row>
    <row r="26" spans="1:3" x14ac:dyDescent="0.2">
      <c r="A26" t="s">
        <v>191</v>
      </c>
      <c r="B26" t="s">
        <v>192</v>
      </c>
    </row>
    <row r="27" spans="1:3" x14ac:dyDescent="0.2">
      <c r="A27" t="s">
        <v>210</v>
      </c>
      <c r="B27" t="s">
        <v>206</v>
      </c>
    </row>
    <row r="28" spans="1:3" x14ac:dyDescent="0.2">
      <c r="A28" t="s">
        <v>211</v>
      </c>
      <c r="B28" t="s">
        <v>212</v>
      </c>
    </row>
    <row r="29" spans="1:3" x14ac:dyDescent="0.2">
      <c r="A29" t="s">
        <v>213</v>
      </c>
      <c r="B29" t="s">
        <v>214</v>
      </c>
      <c r="C29" t="s">
        <v>215</v>
      </c>
    </row>
    <row r="30" spans="1:3" x14ac:dyDescent="0.2">
      <c r="A30" t="s">
        <v>216</v>
      </c>
      <c r="B30" t="s">
        <v>217</v>
      </c>
    </row>
    <row r="31" spans="1:3" x14ac:dyDescent="0.2">
      <c r="A31" t="s">
        <v>218</v>
      </c>
      <c r="B31" t="s">
        <v>219</v>
      </c>
    </row>
    <row r="32" spans="1:3" x14ac:dyDescent="0.2">
      <c r="A32" t="s">
        <v>220</v>
      </c>
      <c r="B32" t="s">
        <v>221</v>
      </c>
    </row>
    <row r="35" spans="1:3" x14ac:dyDescent="0.2">
      <c r="A35" s="5" t="s">
        <v>222</v>
      </c>
    </row>
    <row r="36" spans="1:3" x14ac:dyDescent="0.2">
      <c r="A36" t="s">
        <v>188</v>
      </c>
    </row>
    <row r="37" spans="1:3" x14ac:dyDescent="0.2">
      <c r="A37" t="s">
        <v>223</v>
      </c>
    </row>
    <row r="39" spans="1:3" x14ac:dyDescent="0.2">
      <c r="A39" t="s">
        <v>190</v>
      </c>
      <c r="B39">
        <v>16.833659999999998</v>
      </c>
      <c r="C39">
        <v>-88.10463</v>
      </c>
    </row>
    <row r="40" spans="1:3" x14ac:dyDescent="0.2">
      <c r="A40" t="s">
        <v>191</v>
      </c>
      <c r="B40" t="s">
        <v>192</v>
      </c>
    </row>
    <row r="41" spans="1:3" x14ac:dyDescent="0.2">
      <c r="A41" t="s">
        <v>224</v>
      </c>
      <c r="B41" t="s">
        <v>206</v>
      </c>
    </row>
    <row r="42" spans="1:3" x14ac:dyDescent="0.2">
      <c r="A42" t="s">
        <v>225</v>
      </c>
      <c r="B42" t="s">
        <v>196</v>
      </c>
    </row>
    <row r="43" spans="1:3" x14ac:dyDescent="0.2">
      <c r="A43" t="s">
        <v>226</v>
      </c>
      <c r="B43" t="s">
        <v>227</v>
      </c>
    </row>
    <row r="45" spans="1:3" x14ac:dyDescent="0.2">
      <c r="A45" t="s">
        <v>199</v>
      </c>
      <c r="B45">
        <v>16.83419</v>
      </c>
      <c r="C45">
        <v>-88.104900000000001</v>
      </c>
    </row>
    <row r="46" spans="1:3" x14ac:dyDescent="0.2">
      <c r="A46" t="s">
        <v>191</v>
      </c>
      <c r="B46" t="s">
        <v>192</v>
      </c>
    </row>
    <row r="47" spans="1:3" x14ac:dyDescent="0.2">
      <c r="A47" t="s">
        <v>228</v>
      </c>
      <c r="B47" t="s">
        <v>206</v>
      </c>
    </row>
    <row r="48" spans="1:3" x14ac:dyDescent="0.2">
      <c r="A48" t="s">
        <v>229</v>
      </c>
      <c r="B48" t="s">
        <v>196</v>
      </c>
    </row>
    <row r="49" spans="1:3" x14ac:dyDescent="0.2">
      <c r="A49" t="s">
        <v>230</v>
      </c>
    </row>
    <row r="50" spans="1:3" x14ac:dyDescent="0.2">
      <c r="A50">
        <v>1150</v>
      </c>
      <c r="B50" t="s">
        <v>204</v>
      </c>
    </row>
    <row r="52" spans="1:3" x14ac:dyDescent="0.2">
      <c r="A52" t="s">
        <v>205</v>
      </c>
      <c r="B52">
        <v>16.834779999999999</v>
      </c>
      <c r="C52">
        <v>-88.105029999999999</v>
      </c>
    </row>
    <row r="53" spans="1:3" x14ac:dyDescent="0.2">
      <c r="A53" t="s">
        <v>231</v>
      </c>
      <c r="B53" t="s">
        <v>206</v>
      </c>
    </row>
    <row r="54" spans="1:3" x14ac:dyDescent="0.2">
      <c r="A54">
        <v>1170</v>
      </c>
      <c r="B54" t="s">
        <v>232</v>
      </c>
    </row>
    <row r="56" spans="1:3" x14ac:dyDescent="0.2">
      <c r="A56" t="s">
        <v>209</v>
      </c>
      <c r="B56">
        <v>16.835090000000001</v>
      </c>
      <c r="C56">
        <v>88.104990000000001</v>
      </c>
    </row>
    <row r="57" spans="1:3" x14ac:dyDescent="0.2">
      <c r="A57" t="s">
        <v>233</v>
      </c>
      <c r="B57" t="s">
        <v>206</v>
      </c>
    </row>
    <row r="58" spans="1:3" x14ac:dyDescent="0.2">
      <c r="A58" t="s">
        <v>234</v>
      </c>
      <c r="B58" t="s">
        <v>235</v>
      </c>
    </row>
    <row r="59" spans="1:3" x14ac:dyDescent="0.2">
      <c r="A59" t="s">
        <v>236</v>
      </c>
      <c r="B59" t="s">
        <v>237</v>
      </c>
    </row>
    <row r="60" spans="1:3" x14ac:dyDescent="0.2">
      <c r="A60">
        <v>833</v>
      </c>
      <c r="B60" t="s">
        <v>204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F10CC-4260-5043-9BCF-1AD797BB5FE6}">
  <dimension ref="A1:C25"/>
  <sheetViews>
    <sheetView zoomScaleNormal="100" workbookViewId="0">
      <selection activeCell="C34" sqref="C34"/>
    </sheetView>
  </sheetViews>
  <sheetFormatPr baseColWidth="10" defaultColWidth="11" defaultRowHeight="16" x14ac:dyDescent="0.2"/>
  <cols>
    <col min="1" max="1" width="17.33203125" customWidth="1"/>
    <col min="2" max="2" width="65.5" customWidth="1"/>
  </cols>
  <sheetData>
    <row r="1" spans="1:3" x14ac:dyDescent="0.2">
      <c r="A1" t="s">
        <v>238</v>
      </c>
    </row>
    <row r="2" spans="1:3" x14ac:dyDescent="0.2">
      <c r="A2" s="4" t="s">
        <v>239</v>
      </c>
      <c r="B2" s="4" t="s">
        <v>240</v>
      </c>
      <c r="C2" s="4" t="s">
        <v>241</v>
      </c>
    </row>
    <row r="3" spans="1:3" x14ac:dyDescent="0.2">
      <c r="A3" t="s">
        <v>242</v>
      </c>
      <c r="B3" t="s">
        <v>243</v>
      </c>
      <c r="C3">
        <v>1</v>
      </c>
    </row>
    <row r="4" spans="1:3" x14ac:dyDescent="0.2">
      <c r="A4" t="s">
        <v>244</v>
      </c>
      <c r="B4" t="s">
        <v>245</v>
      </c>
      <c r="C4">
        <v>1</v>
      </c>
    </row>
    <row r="5" spans="1:3" x14ac:dyDescent="0.2">
      <c r="A5" t="s">
        <v>246</v>
      </c>
      <c r="B5" t="s">
        <v>247</v>
      </c>
      <c r="C5">
        <v>2</v>
      </c>
    </row>
    <row r="6" spans="1:3" x14ac:dyDescent="0.2">
      <c r="A6" t="s">
        <v>248</v>
      </c>
      <c r="B6" t="s">
        <v>249</v>
      </c>
      <c r="C6">
        <v>1</v>
      </c>
    </row>
    <row r="7" spans="1:3" x14ac:dyDescent="0.2">
      <c r="A7" t="s">
        <v>250</v>
      </c>
    </row>
    <row r="8" spans="1:3" x14ac:dyDescent="0.2">
      <c r="A8" t="s">
        <v>251</v>
      </c>
      <c r="B8" t="s">
        <v>252</v>
      </c>
      <c r="C8">
        <v>2</v>
      </c>
    </row>
    <row r="9" spans="1:3" x14ac:dyDescent="0.2">
      <c r="A9" t="s">
        <v>253</v>
      </c>
      <c r="B9" t="s">
        <v>254</v>
      </c>
      <c r="C9">
        <v>2</v>
      </c>
    </row>
    <row r="10" spans="1:3" x14ac:dyDescent="0.2">
      <c r="A10" t="s">
        <v>255</v>
      </c>
      <c r="B10" t="s">
        <v>256</v>
      </c>
      <c r="C10">
        <v>2</v>
      </c>
    </row>
    <row r="11" spans="1:3" x14ac:dyDescent="0.2">
      <c r="C11">
        <f>SUM(C3:C10)</f>
        <v>11</v>
      </c>
    </row>
    <row r="12" spans="1:3" x14ac:dyDescent="0.2">
      <c r="A12" t="s">
        <v>257</v>
      </c>
    </row>
    <row r="13" spans="1:3" x14ac:dyDescent="0.2">
      <c r="A13" s="4" t="s">
        <v>240</v>
      </c>
      <c r="B13" s="4" t="s">
        <v>258</v>
      </c>
      <c r="C13" s="4" t="s">
        <v>239</v>
      </c>
    </row>
    <row r="14" spans="1:3" x14ac:dyDescent="0.2">
      <c r="A14" t="s">
        <v>259</v>
      </c>
      <c r="B14" t="s">
        <v>260</v>
      </c>
      <c r="C14" t="s">
        <v>261</v>
      </c>
    </row>
    <row r="15" spans="1:3" x14ac:dyDescent="0.2">
      <c r="A15" t="s">
        <v>262</v>
      </c>
      <c r="B15" t="s">
        <v>263</v>
      </c>
      <c r="C15" t="s">
        <v>264</v>
      </c>
    </row>
    <row r="16" spans="1:3" x14ac:dyDescent="0.2">
      <c r="A16" t="s">
        <v>265</v>
      </c>
      <c r="B16" t="s">
        <v>266</v>
      </c>
      <c r="C16" t="s">
        <v>267</v>
      </c>
    </row>
    <row r="17" spans="1:3" x14ac:dyDescent="0.2">
      <c r="A17" t="s">
        <v>268</v>
      </c>
      <c r="B17" t="s">
        <v>269</v>
      </c>
      <c r="C17" s="7" t="s">
        <v>270</v>
      </c>
    </row>
    <row r="18" spans="1:3" x14ac:dyDescent="0.2">
      <c r="A18" t="s">
        <v>271</v>
      </c>
      <c r="B18" t="s">
        <v>272</v>
      </c>
      <c r="C18" t="s">
        <v>264</v>
      </c>
    </row>
    <row r="19" spans="1:3" x14ac:dyDescent="0.2">
      <c r="A19" t="s">
        <v>273</v>
      </c>
      <c r="B19" t="s">
        <v>274</v>
      </c>
      <c r="C19" t="s">
        <v>255</v>
      </c>
    </row>
    <row r="20" spans="1:3" x14ac:dyDescent="0.2">
      <c r="A20" t="s">
        <v>275</v>
      </c>
      <c r="B20" t="s">
        <v>276</v>
      </c>
      <c r="C20" t="s">
        <v>277</v>
      </c>
    </row>
    <row r="21" spans="1:3" x14ac:dyDescent="0.2">
      <c r="A21" t="s">
        <v>278</v>
      </c>
      <c r="B21" t="s">
        <v>279</v>
      </c>
      <c r="C21" t="s">
        <v>244</v>
      </c>
    </row>
    <row r="22" spans="1:3" x14ac:dyDescent="0.2">
      <c r="A22" t="s">
        <v>280</v>
      </c>
      <c r="B22" t="s">
        <v>281</v>
      </c>
      <c r="C22" t="s">
        <v>261</v>
      </c>
    </row>
    <row r="23" spans="1:3" x14ac:dyDescent="0.2">
      <c r="A23" t="s">
        <v>282</v>
      </c>
      <c r="B23" t="s">
        <v>283</v>
      </c>
      <c r="C23" t="s">
        <v>255</v>
      </c>
    </row>
    <row r="24" spans="1:3" x14ac:dyDescent="0.2">
      <c r="A24" t="s">
        <v>284</v>
      </c>
      <c r="B24" t="s">
        <v>285</v>
      </c>
      <c r="C24" s="7" t="s">
        <v>270</v>
      </c>
    </row>
    <row r="25" spans="1:3" x14ac:dyDescent="0.2">
      <c r="A25" t="s">
        <v>286</v>
      </c>
      <c r="B25" t="s">
        <v>287</v>
      </c>
      <c r="C25" t="s">
        <v>242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F3043-1E44-5D48-973D-692FA969BB37}">
  <dimension ref="A1:D15"/>
  <sheetViews>
    <sheetView workbookViewId="0">
      <selection activeCell="L17" sqref="L17"/>
    </sheetView>
  </sheetViews>
  <sheetFormatPr baseColWidth="10" defaultColWidth="11" defaultRowHeight="16" x14ac:dyDescent="0.2"/>
  <cols>
    <col min="2" max="2" width="16.83203125" bestFit="1" customWidth="1"/>
    <col min="4" max="4" width="35.33203125" bestFit="1" customWidth="1"/>
  </cols>
  <sheetData>
    <row r="1" spans="1:4" x14ac:dyDescent="0.2">
      <c r="A1" s="5" t="s">
        <v>288</v>
      </c>
      <c r="C1" s="5" t="s">
        <v>289</v>
      </c>
    </row>
    <row r="2" spans="1:4" x14ac:dyDescent="0.2">
      <c r="A2" s="6" t="s">
        <v>290</v>
      </c>
      <c r="B2" s="6" t="s">
        <v>291</v>
      </c>
      <c r="C2" s="6" t="s">
        <v>290</v>
      </c>
      <c r="D2" s="6" t="s">
        <v>291</v>
      </c>
    </row>
    <row r="3" spans="1:4" x14ac:dyDescent="0.2">
      <c r="A3" s="2">
        <v>43595</v>
      </c>
      <c r="B3" t="s">
        <v>292</v>
      </c>
      <c r="C3" s="2">
        <v>43595</v>
      </c>
      <c r="D3" t="s">
        <v>1</v>
      </c>
    </row>
    <row r="4" spans="1:4" x14ac:dyDescent="0.2">
      <c r="A4" s="2">
        <v>43596</v>
      </c>
      <c r="B4" t="s">
        <v>1</v>
      </c>
    </row>
    <row r="5" spans="1:4" x14ac:dyDescent="0.2">
      <c r="A5" s="2">
        <v>43597</v>
      </c>
      <c r="B5" t="s">
        <v>1</v>
      </c>
      <c r="C5" s="2"/>
    </row>
    <row r="6" spans="1:4" x14ac:dyDescent="0.2">
      <c r="A6" s="2">
        <v>43598</v>
      </c>
      <c r="B6" t="s">
        <v>1</v>
      </c>
      <c r="C6" s="2">
        <v>43598</v>
      </c>
      <c r="D6" t="s">
        <v>64</v>
      </c>
    </row>
    <row r="7" spans="1:4" x14ac:dyDescent="0.2">
      <c r="A7" s="2">
        <v>43599</v>
      </c>
      <c r="B7" t="s">
        <v>1</v>
      </c>
      <c r="C7" s="2">
        <v>43599</v>
      </c>
      <c r="D7" t="s">
        <v>105</v>
      </c>
    </row>
    <row r="8" spans="1:4" x14ac:dyDescent="0.2">
      <c r="A8" s="2">
        <v>43600</v>
      </c>
      <c r="B8" t="s">
        <v>1</v>
      </c>
      <c r="C8" s="2">
        <v>43600</v>
      </c>
      <c r="D8" t="s">
        <v>105</v>
      </c>
    </row>
    <row r="9" spans="1:4" x14ac:dyDescent="0.2">
      <c r="A9" s="2">
        <v>43601</v>
      </c>
      <c r="B9" t="s">
        <v>1</v>
      </c>
    </row>
    <row r="10" spans="1:4" x14ac:dyDescent="0.2">
      <c r="A10" s="2">
        <v>43602</v>
      </c>
      <c r="B10" t="s">
        <v>1</v>
      </c>
    </row>
    <row r="11" spans="1:4" x14ac:dyDescent="0.2">
      <c r="A11" s="2">
        <v>43603</v>
      </c>
      <c r="B11" t="s">
        <v>1</v>
      </c>
      <c r="C11" s="2">
        <v>43603</v>
      </c>
      <c r="D11" t="s">
        <v>131</v>
      </c>
    </row>
    <row r="12" spans="1:4" x14ac:dyDescent="0.2">
      <c r="A12" s="2">
        <v>43604</v>
      </c>
      <c r="B12" t="s">
        <v>1</v>
      </c>
      <c r="C12" s="2">
        <v>43604</v>
      </c>
      <c r="D12" t="s">
        <v>166</v>
      </c>
    </row>
    <row r="13" spans="1:4" x14ac:dyDescent="0.2">
      <c r="A13" s="2">
        <v>43605</v>
      </c>
      <c r="B13" t="s">
        <v>1</v>
      </c>
      <c r="C13" s="2">
        <v>43605</v>
      </c>
      <c r="D13" t="s">
        <v>293</v>
      </c>
    </row>
    <row r="14" spans="1:4" x14ac:dyDescent="0.2">
      <c r="A14" s="2">
        <v>43606</v>
      </c>
      <c r="B14" t="s">
        <v>1</v>
      </c>
      <c r="C14" s="2">
        <v>43606</v>
      </c>
      <c r="D14" t="s">
        <v>294</v>
      </c>
    </row>
    <row r="15" spans="1:4" x14ac:dyDescent="0.2">
      <c r="A15" s="2">
        <v>43606</v>
      </c>
      <c r="B15" t="s">
        <v>295</v>
      </c>
      <c r="C15" s="2">
        <v>43606</v>
      </c>
      <c r="D15" t="s">
        <v>292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71427-824D-DA4C-AA84-B7FCDC03C9B7}">
  <dimension ref="A1:L81"/>
  <sheetViews>
    <sheetView topLeftCell="A25" zoomScale="89" zoomScaleNormal="100" workbookViewId="0">
      <selection activeCell="A49" sqref="A49:XFD49"/>
    </sheetView>
  </sheetViews>
  <sheetFormatPr baseColWidth="10" defaultColWidth="11" defaultRowHeight="16" x14ac:dyDescent="0.2"/>
  <cols>
    <col min="1" max="1" width="23.5" bestFit="1" customWidth="1"/>
    <col min="2" max="2" width="68.83203125" bestFit="1" customWidth="1"/>
    <col min="3" max="3" width="21.83203125" bestFit="1" customWidth="1"/>
    <col min="4" max="4" width="36.1640625" customWidth="1"/>
    <col min="5" max="5" width="28.1640625" bestFit="1" customWidth="1"/>
    <col min="6" max="6" width="28.33203125" bestFit="1" customWidth="1"/>
    <col min="7" max="7" width="24.5" bestFit="1" customWidth="1"/>
    <col min="8" max="8" width="19.6640625" bestFit="1" customWidth="1"/>
    <col min="9" max="9" width="28.1640625" bestFit="1" customWidth="1"/>
    <col min="10" max="10" width="27.1640625" bestFit="1" customWidth="1"/>
    <col min="11" max="11" width="28.1640625" bestFit="1" customWidth="1"/>
    <col min="12" max="12" width="23.1640625" bestFit="1" customWidth="1"/>
  </cols>
  <sheetData>
    <row r="1" spans="1:12" x14ac:dyDescent="0.2">
      <c r="A1" t="s">
        <v>296</v>
      </c>
    </row>
    <row r="2" spans="1:12" x14ac:dyDescent="0.2">
      <c r="A2" t="s">
        <v>297</v>
      </c>
    </row>
    <row r="3" spans="1:12" x14ac:dyDescent="0.2">
      <c r="A3" t="s">
        <v>298</v>
      </c>
    </row>
    <row r="5" spans="1:12" x14ac:dyDescent="0.2">
      <c r="A5" t="s">
        <v>299</v>
      </c>
      <c r="B5" t="s">
        <v>192</v>
      </c>
    </row>
    <row r="6" spans="1:12" ht="17" x14ac:dyDescent="0.2">
      <c r="A6">
        <v>1147</v>
      </c>
      <c r="B6" s="81" t="s">
        <v>300</v>
      </c>
      <c r="L6">
        <f>1200/75</f>
        <v>16</v>
      </c>
    </row>
    <row r="7" spans="1:12" ht="34" x14ac:dyDescent="0.2">
      <c r="A7">
        <v>1090</v>
      </c>
      <c r="B7" s="81" t="s">
        <v>301</v>
      </c>
    </row>
    <row r="8" spans="1:12" ht="17" x14ac:dyDescent="0.2">
      <c r="A8">
        <v>834</v>
      </c>
      <c r="B8" s="81" t="s">
        <v>302</v>
      </c>
    </row>
    <row r="9" spans="1:12" x14ac:dyDescent="0.2">
      <c r="B9" s="81"/>
    </row>
    <row r="12" spans="1:12" s="83" customFormat="1" x14ac:dyDescent="0.2">
      <c r="A12" s="83" t="s">
        <v>303</v>
      </c>
    </row>
    <row r="13" spans="1:12" s="83" customFormat="1" x14ac:dyDescent="0.2">
      <c r="A13" s="83" t="s">
        <v>297</v>
      </c>
    </row>
    <row r="14" spans="1:12" s="83" customFormat="1" x14ac:dyDescent="0.2">
      <c r="A14" s="83" t="s">
        <v>520</v>
      </c>
    </row>
    <row r="15" spans="1:12" s="83" customFormat="1" x14ac:dyDescent="0.2">
      <c r="J15" s="83" t="s">
        <v>304</v>
      </c>
    </row>
    <row r="16" spans="1:12" s="83" customFormat="1" x14ac:dyDescent="0.2">
      <c r="A16" s="83" t="s">
        <v>305</v>
      </c>
      <c r="B16" s="83" t="s">
        <v>306</v>
      </c>
      <c r="C16" s="83" t="s">
        <v>307</v>
      </c>
      <c r="D16" s="83" t="s">
        <v>169</v>
      </c>
      <c r="J16" s="83" t="s">
        <v>308</v>
      </c>
      <c r="K16" s="83" t="s">
        <v>6</v>
      </c>
      <c r="L16" s="83" t="s">
        <v>309</v>
      </c>
    </row>
    <row r="17" spans="1:12" s="84" customFormat="1" ht="85" x14ac:dyDescent="0.2">
      <c r="A17" s="84" t="s">
        <v>310</v>
      </c>
      <c r="B17" s="84" t="s">
        <v>311</v>
      </c>
      <c r="C17" s="84">
        <v>5</v>
      </c>
      <c r="D17" s="84" t="s">
        <v>312</v>
      </c>
      <c r="J17" s="84" t="s">
        <v>313</v>
      </c>
      <c r="K17" s="84" t="s">
        <v>314</v>
      </c>
      <c r="L17" s="84">
        <v>41</v>
      </c>
    </row>
    <row r="18" spans="1:12" s="84" customFormat="1" ht="17" x14ac:dyDescent="0.2">
      <c r="A18" s="84" t="s">
        <v>315</v>
      </c>
      <c r="B18" s="84" t="s">
        <v>311</v>
      </c>
      <c r="C18" s="84">
        <v>32</v>
      </c>
      <c r="D18" s="84" t="s">
        <v>316</v>
      </c>
    </row>
    <row r="19" spans="1:12" s="84" customFormat="1" ht="17" x14ac:dyDescent="0.2">
      <c r="A19" s="84" t="s">
        <v>317</v>
      </c>
      <c r="B19" s="84" t="s">
        <v>311</v>
      </c>
      <c r="C19" s="84">
        <v>11</v>
      </c>
      <c r="D19" s="84" t="s">
        <v>318</v>
      </c>
    </row>
    <row r="20" spans="1:12" s="84" customFormat="1" ht="17" x14ac:dyDescent="0.2">
      <c r="A20" s="84" t="s">
        <v>319</v>
      </c>
      <c r="B20" s="84" t="s">
        <v>311</v>
      </c>
      <c r="C20" s="84">
        <v>37</v>
      </c>
      <c r="D20" s="84" t="s">
        <v>318</v>
      </c>
    </row>
    <row r="21" spans="1:12" s="84" customFormat="1" ht="51" x14ac:dyDescent="0.2">
      <c r="A21" s="84" t="s">
        <v>320</v>
      </c>
      <c r="B21" s="84" t="s">
        <v>321</v>
      </c>
      <c r="C21" s="84">
        <v>41</v>
      </c>
      <c r="D21" s="84" t="s">
        <v>322</v>
      </c>
    </row>
    <row r="22" spans="1:12" s="84" customFormat="1" ht="17" x14ac:dyDescent="0.2">
      <c r="A22" s="84" t="s">
        <v>323</v>
      </c>
      <c r="B22" s="84" t="s">
        <v>311</v>
      </c>
      <c r="C22" s="84">
        <v>33</v>
      </c>
      <c r="D22" s="84" t="s">
        <v>324</v>
      </c>
    </row>
    <row r="23" spans="1:12" s="84" customFormat="1" ht="34" x14ac:dyDescent="0.2">
      <c r="A23" s="84" t="s">
        <v>325</v>
      </c>
      <c r="B23" s="84" t="s">
        <v>311</v>
      </c>
      <c r="D23" s="84" t="s">
        <v>326</v>
      </c>
    </row>
    <row r="24" spans="1:12" s="84" customFormat="1" ht="17" x14ac:dyDescent="0.2">
      <c r="A24" s="84" t="s">
        <v>327</v>
      </c>
      <c r="B24" s="84" t="s">
        <v>311</v>
      </c>
    </row>
    <row r="25" spans="1:12" s="84" customFormat="1" ht="34" x14ac:dyDescent="0.2">
      <c r="A25" s="84" t="s">
        <v>328</v>
      </c>
      <c r="B25" s="84" t="s">
        <v>311</v>
      </c>
      <c r="D25" s="84" t="s">
        <v>329</v>
      </c>
    </row>
    <row r="26" spans="1:12" s="84" customFormat="1" ht="17" x14ac:dyDescent="0.2">
      <c r="A26" s="84" t="s">
        <v>330</v>
      </c>
      <c r="B26" s="84" t="s">
        <v>311</v>
      </c>
      <c r="D26" s="84" t="s">
        <v>331</v>
      </c>
    </row>
    <row r="27" spans="1:12" s="84" customFormat="1" ht="17" x14ac:dyDescent="0.2">
      <c r="A27" s="84" t="s">
        <v>332</v>
      </c>
      <c r="B27" s="84" t="s">
        <v>333</v>
      </c>
      <c r="D27" s="84" t="s">
        <v>334</v>
      </c>
    </row>
    <row r="28" spans="1:12" s="84" customFormat="1" ht="17" x14ac:dyDescent="0.2">
      <c r="A28" s="84" t="s">
        <v>335</v>
      </c>
      <c r="B28" s="84" t="s">
        <v>333</v>
      </c>
      <c r="D28" s="84" t="s">
        <v>336</v>
      </c>
    </row>
    <row r="29" spans="1:12" s="84" customFormat="1" ht="34" x14ac:dyDescent="0.2">
      <c r="A29" s="84" t="s">
        <v>337</v>
      </c>
      <c r="B29" s="84" t="s">
        <v>333</v>
      </c>
      <c r="D29" s="84" t="s">
        <v>338</v>
      </c>
    </row>
    <row r="30" spans="1:12" s="84" customFormat="1" ht="17" x14ac:dyDescent="0.2">
      <c r="A30" s="84" t="s">
        <v>339</v>
      </c>
      <c r="B30" s="84" t="s">
        <v>311</v>
      </c>
      <c r="D30" s="84" t="s">
        <v>340</v>
      </c>
    </row>
    <row r="31" spans="1:12" s="84" customFormat="1" ht="34" x14ac:dyDescent="0.2">
      <c r="A31" s="84" t="s">
        <v>341</v>
      </c>
      <c r="B31" s="84" t="s">
        <v>333</v>
      </c>
      <c r="D31" s="84" t="s">
        <v>342</v>
      </c>
    </row>
    <row r="32" spans="1:12" s="84" customFormat="1" ht="34" x14ac:dyDescent="0.2">
      <c r="A32" s="84" t="s">
        <v>343</v>
      </c>
      <c r="B32" s="84" t="s">
        <v>333</v>
      </c>
      <c r="D32" s="84" t="s">
        <v>344</v>
      </c>
    </row>
    <row r="33" spans="1:11" s="84" customFormat="1" ht="34" x14ac:dyDescent="0.2">
      <c r="A33" s="84" t="s">
        <v>345</v>
      </c>
      <c r="B33" s="84" t="s">
        <v>333</v>
      </c>
      <c r="D33" s="84" t="s">
        <v>346</v>
      </c>
    </row>
    <row r="34" spans="1:11" s="84" customFormat="1" ht="34" x14ac:dyDescent="0.2">
      <c r="A34" s="84" t="s">
        <v>347</v>
      </c>
      <c r="B34" s="84" t="s">
        <v>333</v>
      </c>
      <c r="D34" s="84" t="s">
        <v>348</v>
      </c>
    </row>
    <row r="35" spans="1:11" s="84" customFormat="1" ht="17" x14ac:dyDescent="0.2">
      <c r="A35" s="84" t="s">
        <v>349</v>
      </c>
      <c r="B35" s="84" t="s">
        <v>333</v>
      </c>
    </row>
    <row r="36" spans="1:11" s="81" customFormat="1" x14ac:dyDescent="0.2"/>
    <row r="37" spans="1:11" s="81" customFormat="1" x14ac:dyDescent="0.2"/>
    <row r="40" spans="1:11" x14ac:dyDescent="0.2">
      <c r="A40" s="82">
        <v>44278</v>
      </c>
    </row>
    <row r="41" spans="1:11" x14ac:dyDescent="0.2">
      <c r="A41" s="5" t="s">
        <v>522</v>
      </c>
    </row>
    <row r="42" spans="1:11" x14ac:dyDescent="0.2">
      <c r="A42" s="3" t="s">
        <v>521</v>
      </c>
    </row>
    <row r="43" spans="1:11" x14ac:dyDescent="0.2">
      <c r="H43" s="85"/>
      <c r="I43" s="85"/>
      <c r="J43" s="85"/>
      <c r="K43" s="85"/>
    </row>
    <row r="44" spans="1:11" x14ac:dyDescent="0.2">
      <c r="A44" s="110" t="s">
        <v>532</v>
      </c>
      <c r="B44" s="110" t="s">
        <v>305</v>
      </c>
      <c r="C44" s="110" t="s">
        <v>523</v>
      </c>
      <c r="D44" s="110" t="s">
        <v>240</v>
      </c>
      <c r="E44" s="5" t="s">
        <v>524</v>
      </c>
      <c r="F44" s="5" t="s">
        <v>525</v>
      </c>
      <c r="G44" s="5" t="s">
        <v>533</v>
      </c>
      <c r="H44" s="110" t="s">
        <v>526</v>
      </c>
      <c r="I44" s="86"/>
      <c r="J44" s="86"/>
      <c r="K44" s="87"/>
    </row>
    <row r="45" spans="1:11" x14ac:dyDescent="0.2">
      <c r="A45" s="111"/>
      <c r="B45" s="111"/>
      <c r="C45" s="111"/>
      <c r="D45" s="111"/>
      <c r="E45" s="77" t="s">
        <v>527</v>
      </c>
      <c r="F45" s="77" t="s">
        <v>528</v>
      </c>
      <c r="G45" s="77"/>
      <c r="H45" s="111"/>
      <c r="I45" s="85"/>
      <c r="J45" s="85"/>
      <c r="K45" s="87"/>
    </row>
    <row r="46" spans="1:11" x14ac:dyDescent="0.2">
      <c r="A46" t="s">
        <v>534</v>
      </c>
      <c r="B46" t="s">
        <v>535</v>
      </c>
      <c r="C46">
        <v>1</v>
      </c>
      <c r="D46" t="s">
        <v>536</v>
      </c>
      <c r="E46" s="98">
        <v>0.15279999999999999</v>
      </c>
      <c r="F46" s="98">
        <v>0.16930000000000001</v>
      </c>
      <c r="G46" s="99">
        <f>(F46-E46)*1000</f>
        <v>16.500000000000014</v>
      </c>
      <c r="H46" s="112" t="s">
        <v>537</v>
      </c>
      <c r="I46" s="85"/>
      <c r="J46" s="85"/>
      <c r="K46" s="85"/>
    </row>
    <row r="47" spans="1:11" x14ac:dyDescent="0.2">
      <c r="A47" t="s">
        <v>534</v>
      </c>
      <c r="B47" t="s">
        <v>535</v>
      </c>
      <c r="C47">
        <v>2</v>
      </c>
      <c r="D47" t="s">
        <v>538</v>
      </c>
      <c r="E47" s="98">
        <v>0.15010000000000001</v>
      </c>
      <c r="F47" s="98">
        <v>0.1676</v>
      </c>
      <c r="G47" s="99">
        <f t="shared" ref="G47:G51" si="0">(F47-E47)*1000</f>
        <v>17.499999999999989</v>
      </c>
      <c r="H47" s="113"/>
      <c r="I47" s="85"/>
      <c r="J47" s="85"/>
      <c r="K47" s="85"/>
    </row>
    <row r="48" spans="1:11" x14ac:dyDescent="0.2">
      <c r="A48" t="s">
        <v>534</v>
      </c>
      <c r="B48" t="s">
        <v>535</v>
      </c>
      <c r="C48">
        <v>3</v>
      </c>
      <c r="D48" t="s">
        <v>539</v>
      </c>
      <c r="E48" s="98">
        <v>0.15040000000000001</v>
      </c>
      <c r="F48" s="98">
        <v>0.1686</v>
      </c>
      <c r="G48" s="99">
        <f t="shared" si="0"/>
        <v>18.199999999999996</v>
      </c>
      <c r="H48" s="113"/>
      <c r="I48" s="85"/>
      <c r="J48" s="85"/>
      <c r="K48" s="85"/>
    </row>
    <row r="49" spans="1:8" x14ac:dyDescent="0.2">
      <c r="A49" t="s">
        <v>540</v>
      </c>
      <c r="B49" t="s">
        <v>541</v>
      </c>
      <c r="C49">
        <v>4</v>
      </c>
      <c r="D49" t="s">
        <v>542</v>
      </c>
      <c r="E49" s="98">
        <v>0.154</v>
      </c>
      <c r="F49" s="98">
        <v>0.16300000000000001</v>
      </c>
      <c r="G49" s="99">
        <f t="shared" si="0"/>
        <v>9.0000000000000071</v>
      </c>
      <c r="H49" s="113" t="s">
        <v>543</v>
      </c>
    </row>
    <row r="50" spans="1:8" x14ac:dyDescent="0.2">
      <c r="A50" t="s">
        <v>540</v>
      </c>
      <c r="B50" t="s">
        <v>541</v>
      </c>
      <c r="C50">
        <v>5</v>
      </c>
      <c r="D50" t="s">
        <v>544</v>
      </c>
      <c r="E50" s="98">
        <v>0.1512</v>
      </c>
      <c r="F50" s="98">
        <v>0.161</v>
      </c>
      <c r="G50" s="99">
        <f t="shared" si="0"/>
        <v>9.8000000000000025</v>
      </c>
      <c r="H50" s="113"/>
    </row>
    <row r="51" spans="1:8" x14ac:dyDescent="0.2">
      <c r="A51" t="s">
        <v>540</v>
      </c>
      <c r="B51" t="s">
        <v>541</v>
      </c>
      <c r="C51">
        <v>6</v>
      </c>
      <c r="D51" t="s">
        <v>545</v>
      </c>
      <c r="E51" s="98">
        <v>0.15279999999999999</v>
      </c>
      <c r="F51" s="98">
        <v>0.16259999999999999</v>
      </c>
      <c r="G51" s="99">
        <f t="shared" si="0"/>
        <v>9.8000000000000025</v>
      </c>
      <c r="H51" s="113"/>
    </row>
    <row r="52" spans="1:8" x14ac:dyDescent="0.2">
      <c r="C52" s="79"/>
      <c r="H52" s="78"/>
    </row>
    <row r="53" spans="1:8" x14ac:dyDescent="0.2">
      <c r="C53" s="79"/>
      <c r="H53" s="78"/>
    </row>
    <row r="54" spans="1:8" x14ac:dyDescent="0.2">
      <c r="C54" s="79"/>
      <c r="H54" s="78"/>
    </row>
    <row r="55" spans="1:8" x14ac:dyDescent="0.2">
      <c r="C55" s="79"/>
      <c r="H55" s="78"/>
    </row>
    <row r="56" spans="1:8" x14ac:dyDescent="0.2">
      <c r="A56" s="82">
        <v>44279</v>
      </c>
      <c r="C56" s="79"/>
      <c r="H56" s="78"/>
    </row>
    <row r="57" spans="1:8" x14ac:dyDescent="0.2">
      <c r="A57" s="5" t="s">
        <v>297</v>
      </c>
      <c r="C57" s="79"/>
      <c r="H57" s="78"/>
    </row>
    <row r="58" spans="1:8" x14ac:dyDescent="0.2">
      <c r="A58" s="3" t="s">
        <v>546</v>
      </c>
      <c r="C58" s="79"/>
      <c r="H58" s="78"/>
    </row>
    <row r="59" spans="1:8" x14ac:dyDescent="0.2">
      <c r="C59" s="79"/>
      <c r="H59" s="78"/>
    </row>
    <row r="60" spans="1:8" x14ac:dyDescent="0.2">
      <c r="A60" s="110" t="s">
        <v>532</v>
      </c>
      <c r="B60" s="110" t="s">
        <v>305</v>
      </c>
      <c r="C60" s="110" t="s">
        <v>240</v>
      </c>
      <c r="D60" s="110" t="s">
        <v>561</v>
      </c>
      <c r="E60" s="110" t="s">
        <v>547</v>
      </c>
      <c r="F60" s="110" t="s">
        <v>556</v>
      </c>
      <c r="G60" s="110" t="s">
        <v>169</v>
      </c>
    </row>
    <row r="61" spans="1:8" x14ac:dyDescent="0.2">
      <c r="A61" s="111"/>
      <c r="B61" s="111"/>
      <c r="C61" s="111"/>
      <c r="D61" s="111"/>
      <c r="E61" s="111"/>
      <c r="F61" s="111"/>
      <c r="G61" s="111"/>
    </row>
    <row r="62" spans="1:8" ht="68" x14ac:dyDescent="0.2">
      <c r="A62" s="100" t="s">
        <v>534</v>
      </c>
      <c r="B62" s="100" t="s">
        <v>535</v>
      </c>
      <c r="C62" s="100" t="s">
        <v>548</v>
      </c>
      <c r="D62" s="103">
        <f>0.067*1000</f>
        <v>67</v>
      </c>
      <c r="E62" s="101" t="s">
        <v>549</v>
      </c>
      <c r="F62" s="100" t="s">
        <v>557</v>
      </c>
      <c r="G62" s="100" t="s">
        <v>558</v>
      </c>
    </row>
    <row r="63" spans="1:8" ht="85" x14ac:dyDescent="0.2">
      <c r="A63" s="100" t="s">
        <v>534</v>
      </c>
      <c r="B63" s="100" t="s">
        <v>535</v>
      </c>
      <c r="C63" s="100" t="s">
        <v>550</v>
      </c>
      <c r="D63" s="104">
        <f>0.0002*1000</f>
        <v>0.2</v>
      </c>
      <c r="E63" s="101" t="s">
        <v>551</v>
      </c>
      <c r="F63" s="100"/>
      <c r="G63" s="78" t="s">
        <v>576</v>
      </c>
    </row>
    <row r="64" spans="1:8" ht="85" x14ac:dyDescent="0.2">
      <c r="A64" s="80" t="s">
        <v>534</v>
      </c>
      <c r="B64" s="80" t="s">
        <v>535</v>
      </c>
      <c r="C64" s="80" t="s">
        <v>552</v>
      </c>
      <c r="D64" s="103">
        <f>0.0031*1000</f>
        <v>3.1</v>
      </c>
      <c r="E64" s="102" t="s">
        <v>553</v>
      </c>
      <c r="F64" s="80" t="s">
        <v>559</v>
      </c>
      <c r="G64" s="100" t="s">
        <v>558</v>
      </c>
    </row>
    <row r="65" spans="1:7" ht="153" x14ac:dyDescent="0.2">
      <c r="A65" s="100" t="s">
        <v>534</v>
      </c>
      <c r="B65" s="100" t="s">
        <v>535</v>
      </c>
      <c r="C65" s="100" t="s">
        <v>554</v>
      </c>
      <c r="D65" s="104">
        <f>0.0017*1000</f>
        <v>1.7</v>
      </c>
      <c r="E65" s="101" t="s">
        <v>555</v>
      </c>
      <c r="F65" s="100" t="s">
        <v>560</v>
      </c>
      <c r="G65" s="78" t="s">
        <v>576</v>
      </c>
    </row>
    <row r="70" spans="1:7" x14ac:dyDescent="0.2">
      <c r="A70" s="82">
        <v>44280</v>
      </c>
    </row>
    <row r="71" spans="1:7" x14ac:dyDescent="0.2">
      <c r="A71" s="5" t="s">
        <v>297</v>
      </c>
    </row>
    <row r="72" spans="1:7" x14ac:dyDescent="0.2">
      <c r="A72" s="3" t="s">
        <v>546</v>
      </c>
      <c r="B72" s="105"/>
    </row>
    <row r="74" spans="1:7" x14ac:dyDescent="0.2">
      <c r="A74" s="110" t="s">
        <v>532</v>
      </c>
      <c r="B74" s="110" t="s">
        <v>305</v>
      </c>
      <c r="C74" s="110" t="s">
        <v>240</v>
      </c>
      <c r="D74" s="110" t="s">
        <v>561</v>
      </c>
      <c r="E74" s="110" t="s">
        <v>547</v>
      </c>
      <c r="F74" s="96" t="s">
        <v>556</v>
      </c>
      <c r="G74" s="110" t="s">
        <v>169</v>
      </c>
    </row>
    <row r="75" spans="1:7" x14ac:dyDescent="0.2">
      <c r="A75" s="111"/>
      <c r="B75" s="111"/>
      <c r="C75" s="111"/>
      <c r="D75" s="111"/>
      <c r="E75" s="111"/>
      <c r="F75" s="97"/>
      <c r="G75" s="111"/>
    </row>
    <row r="76" spans="1:7" ht="68" x14ac:dyDescent="0.2">
      <c r="A76" s="100" t="s">
        <v>540</v>
      </c>
      <c r="B76" s="100" t="s">
        <v>541</v>
      </c>
      <c r="C76" s="100" t="s">
        <v>562</v>
      </c>
      <c r="D76" s="103">
        <v>0.60000000000037801</v>
      </c>
      <c r="E76" s="101" t="s">
        <v>563</v>
      </c>
      <c r="F76" s="100" t="s">
        <v>564</v>
      </c>
      <c r="G76" s="100" t="s">
        <v>558</v>
      </c>
    </row>
    <row r="77" spans="1:7" ht="68" x14ac:dyDescent="0.2">
      <c r="A77" s="100" t="s">
        <v>540</v>
      </c>
      <c r="B77" s="100" t="s">
        <v>541</v>
      </c>
      <c r="C77" s="100" t="s">
        <v>565</v>
      </c>
      <c r="D77" s="103">
        <v>2.4999999999995026</v>
      </c>
      <c r="E77" s="101" t="s">
        <v>566</v>
      </c>
      <c r="F77" s="78" t="s">
        <v>567</v>
      </c>
      <c r="G77" s="78" t="s">
        <v>558</v>
      </c>
    </row>
    <row r="78" spans="1:7" ht="170" x14ac:dyDescent="0.2">
      <c r="A78" s="100" t="s">
        <v>540</v>
      </c>
      <c r="B78" s="100" t="s">
        <v>541</v>
      </c>
      <c r="C78" s="80" t="s">
        <v>568</v>
      </c>
      <c r="D78" s="103">
        <v>21.3</v>
      </c>
      <c r="E78" s="102" t="s">
        <v>569</v>
      </c>
      <c r="F78" s="80" t="s">
        <v>557</v>
      </c>
      <c r="G78" s="100" t="s">
        <v>558</v>
      </c>
    </row>
    <row r="79" spans="1:7" ht="51" x14ac:dyDescent="0.2">
      <c r="A79" s="100" t="s">
        <v>540</v>
      </c>
      <c r="B79" s="100" t="s">
        <v>541</v>
      </c>
      <c r="C79" s="100" t="s">
        <v>570</v>
      </c>
      <c r="D79" s="103">
        <v>0.89999999999967883</v>
      </c>
      <c r="E79" s="101" t="s">
        <v>571</v>
      </c>
      <c r="F79" s="100"/>
      <c r="G79" s="78" t="s">
        <v>558</v>
      </c>
    </row>
    <row r="80" spans="1:7" ht="34" x14ac:dyDescent="0.2">
      <c r="A80" s="100" t="s">
        <v>540</v>
      </c>
      <c r="B80" s="100" t="s">
        <v>541</v>
      </c>
      <c r="C80" s="100" t="s">
        <v>572</v>
      </c>
      <c r="D80">
        <v>0.79999999999991189</v>
      </c>
      <c r="E80" s="101" t="s">
        <v>573</v>
      </c>
      <c r="F80" t="s">
        <v>559</v>
      </c>
      <c r="G80" s="78" t="s">
        <v>558</v>
      </c>
    </row>
    <row r="81" spans="1:7" ht="34" x14ac:dyDescent="0.2">
      <c r="A81" s="100" t="s">
        <v>540</v>
      </c>
      <c r="B81" s="100" t="s">
        <v>541</v>
      </c>
      <c r="C81" s="100" t="s">
        <v>574</v>
      </c>
      <c r="D81">
        <v>1.6</v>
      </c>
      <c r="E81" s="101" t="s">
        <v>575</v>
      </c>
      <c r="F81" t="s">
        <v>560</v>
      </c>
      <c r="G81" s="78" t="s">
        <v>558</v>
      </c>
    </row>
  </sheetData>
  <mergeCells count="20">
    <mergeCell ref="G74:G75"/>
    <mergeCell ref="A74:A75"/>
    <mergeCell ref="B74:B75"/>
    <mergeCell ref="C74:C75"/>
    <mergeCell ref="D74:D75"/>
    <mergeCell ref="E74:E75"/>
    <mergeCell ref="H44:H45"/>
    <mergeCell ref="H46:H48"/>
    <mergeCell ref="H49:H51"/>
    <mergeCell ref="A60:A61"/>
    <mergeCell ref="B60:B61"/>
    <mergeCell ref="C60:C61"/>
    <mergeCell ref="D60:D61"/>
    <mergeCell ref="E60:E61"/>
    <mergeCell ref="F60:F61"/>
    <mergeCell ref="G60:G61"/>
    <mergeCell ref="B44:B45"/>
    <mergeCell ref="A44:A45"/>
    <mergeCell ref="C44:C45"/>
    <mergeCell ref="D44:D4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808FB-2EA4-8847-8FA6-1C6965DAF5E6}">
  <dimension ref="A1:G35"/>
  <sheetViews>
    <sheetView zoomScale="109" zoomScaleNormal="120" workbookViewId="0">
      <selection activeCell="F32" sqref="F32"/>
    </sheetView>
  </sheetViews>
  <sheetFormatPr baseColWidth="10" defaultRowHeight="16" x14ac:dyDescent="0.2"/>
  <cols>
    <col min="1" max="1" width="31.33203125" bestFit="1" customWidth="1"/>
    <col min="2" max="2" width="36.33203125" bestFit="1" customWidth="1"/>
    <col min="3" max="3" width="36.33203125" customWidth="1"/>
    <col min="4" max="4" width="24.1640625" bestFit="1" customWidth="1"/>
    <col min="5" max="5" width="27.83203125" bestFit="1" customWidth="1"/>
    <col min="6" max="7" width="24.1640625" bestFit="1" customWidth="1"/>
  </cols>
  <sheetData>
    <row r="1" spans="1:7" x14ac:dyDescent="0.2">
      <c r="A1" s="47">
        <v>44216</v>
      </c>
      <c r="B1" s="48" t="s">
        <v>366</v>
      </c>
    </row>
    <row r="2" spans="1:7" x14ac:dyDescent="0.2">
      <c r="A2" s="3" t="s">
        <v>489</v>
      </c>
    </row>
    <row r="3" spans="1:7" x14ac:dyDescent="0.2">
      <c r="A3" s="14" t="s">
        <v>351</v>
      </c>
      <c r="B3" s="115" t="s">
        <v>433</v>
      </c>
      <c r="C3" s="115"/>
      <c r="D3" s="114" t="s">
        <v>403</v>
      </c>
      <c r="E3" s="114"/>
      <c r="F3" s="116" t="s">
        <v>459</v>
      </c>
      <c r="G3" s="116"/>
    </row>
    <row r="4" spans="1:7" x14ac:dyDescent="0.2">
      <c r="A4" s="12" t="s">
        <v>435</v>
      </c>
      <c r="B4" s="24" t="s">
        <v>404</v>
      </c>
      <c r="C4" s="25" t="s">
        <v>431</v>
      </c>
      <c r="D4" s="26" t="s">
        <v>404</v>
      </c>
      <c r="E4" s="27" t="s">
        <v>405</v>
      </c>
      <c r="F4" s="23" t="s">
        <v>404</v>
      </c>
      <c r="G4" s="23" t="s">
        <v>431</v>
      </c>
    </row>
    <row r="5" spans="1:7" x14ac:dyDescent="0.2">
      <c r="A5" s="13" t="s">
        <v>434</v>
      </c>
      <c r="B5" s="9" t="s">
        <v>423</v>
      </c>
      <c r="C5" s="10" t="s">
        <v>424</v>
      </c>
      <c r="D5" s="11" t="s">
        <v>402</v>
      </c>
      <c r="E5" s="19" t="s">
        <v>385</v>
      </c>
      <c r="F5" s="91" t="s">
        <v>436</v>
      </c>
      <c r="G5" s="91" t="s">
        <v>441</v>
      </c>
    </row>
    <row r="6" spans="1:7" x14ac:dyDescent="0.2">
      <c r="A6" s="13" t="s">
        <v>352</v>
      </c>
      <c r="B6" s="9" t="s">
        <v>418</v>
      </c>
      <c r="C6" s="10" t="s">
        <v>417</v>
      </c>
      <c r="D6" s="11" t="s">
        <v>396</v>
      </c>
      <c r="E6" s="19" t="s">
        <v>378</v>
      </c>
      <c r="F6" s="94" t="s">
        <v>513</v>
      </c>
      <c r="G6" s="91" t="s">
        <v>437</v>
      </c>
    </row>
    <row r="7" spans="1:7" x14ac:dyDescent="0.2">
      <c r="A7" s="13" t="s">
        <v>353</v>
      </c>
      <c r="B7" s="9" t="s">
        <v>415</v>
      </c>
      <c r="C7" s="10" t="s">
        <v>416</v>
      </c>
      <c r="D7" s="11" t="s">
        <v>379</v>
      </c>
      <c r="E7" s="19" t="s">
        <v>380</v>
      </c>
      <c r="F7" s="21" t="s">
        <v>444</v>
      </c>
      <c r="G7" s="21" t="s">
        <v>440</v>
      </c>
    </row>
    <row r="8" spans="1:7" x14ac:dyDescent="0.2">
      <c r="A8" s="13" t="s">
        <v>354</v>
      </c>
      <c r="B8" s="9" t="s">
        <v>407</v>
      </c>
      <c r="C8" s="10" t="s">
        <v>406</v>
      </c>
      <c r="D8" s="11" t="s">
        <v>381</v>
      </c>
      <c r="E8" s="19" t="s">
        <v>382</v>
      </c>
      <c r="F8" s="91" t="s">
        <v>458</v>
      </c>
      <c r="G8" s="94" t="s">
        <v>514</v>
      </c>
    </row>
    <row r="9" spans="1:7" x14ac:dyDescent="0.2">
      <c r="A9" s="13" t="s">
        <v>355</v>
      </c>
      <c r="B9" s="9" t="s">
        <v>408</v>
      </c>
      <c r="C9" s="10" t="s">
        <v>409</v>
      </c>
      <c r="D9" s="11" t="s">
        <v>383</v>
      </c>
      <c r="E9" s="19" t="s">
        <v>384</v>
      </c>
      <c r="F9" s="91" t="s">
        <v>438</v>
      </c>
      <c r="G9" s="21" t="s">
        <v>451</v>
      </c>
    </row>
    <row r="10" spans="1:7" x14ac:dyDescent="0.2">
      <c r="A10" s="13" t="s">
        <v>356</v>
      </c>
      <c r="B10" s="9" t="s">
        <v>413</v>
      </c>
      <c r="C10" s="10" t="s">
        <v>412</v>
      </c>
      <c r="D10" s="11" t="s">
        <v>386</v>
      </c>
      <c r="E10" s="19" t="s">
        <v>387</v>
      </c>
      <c r="F10" s="21" t="s">
        <v>439</v>
      </c>
      <c r="G10" s="91" t="s">
        <v>445</v>
      </c>
    </row>
    <row r="11" spans="1:7" x14ac:dyDescent="0.2">
      <c r="A11" s="13" t="s">
        <v>357</v>
      </c>
      <c r="B11" s="9" t="s">
        <v>419</v>
      </c>
      <c r="C11" s="10" t="s">
        <v>420</v>
      </c>
      <c r="D11" s="11" t="s">
        <v>388</v>
      </c>
      <c r="E11" s="19" t="s">
        <v>389</v>
      </c>
      <c r="F11" s="94" t="s">
        <v>516</v>
      </c>
      <c r="G11" s="91" t="s">
        <v>446</v>
      </c>
    </row>
    <row r="12" spans="1:7" x14ac:dyDescent="0.2">
      <c r="A12" s="13" t="s">
        <v>358</v>
      </c>
      <c r="B12" s="9" t="s">
        <v>422</v>
      </c>
      <c r="C12" s="10" t="s">
        <v>421</v>
      </c>
      <c r="D12" s="11" t="s">
        <v>390</v>
      </c>
      <c r="E12" s="19" t="s">
        <v>391</v>
      </c>
      <c r="F12" s="91" t="s">
        <v>448</v>
      </c>
      <c r="G12" s="21" t="s">
        <v>442</v>
      </c>
    </row>
    <row r="13" spans="1:7" x14ac:dyDescent="0.2">
      <c r="A13" s="13" t="s">
        <v>359</v>
      </c>
      <c r="B13" s="9" t="s">
        <v>430</v>
      </c>
      <c r="C13" s="10" t="s">
        <v>429</v>
      </c>
      <c r="D13" s="11" t="s">
        <v>392</v>
      </c>
      <c r="E13" s="19" t="s">
        <v>393</v>
      </c>
      <c r="F13" s="91" t="s">
        <v>447</v>
      </c>
      <c r="G13" s="94" t="s">
        <v>518</v>
      </c>
    </row>
    <row r="14" spans="1:7" x14ac:dyDescent="0.2">
      <c r="A14" s="13" t="s">
        <v>361</v>
      </c>
      <c r="B14" s="9" t="s">
        <v>427</v>
      </c>
      <c r="C14" s="10" t="s">
        <v>428</v>
      </c>
      <c r="D14" s="11" t="s">
        <v>394</v>
      </c>
      <c r="E14" s="19" t="s">
        <v>395</v>
      </c>
      <c r="F14" s="91" t="s">
        <v>450</v>
      </c>
      <c r="G14" s="91" t="s">
        <v>449</v>
      </c>
    </row>
    <row r="15" spans="1:7" x14ac:dyDescent="0.2">
      <c r="A15" s="13" t="s">
        <v>360</v>
      </c>
      <c r="B15" s="9" t="s">
        <v>426</v>
      </c>
      <c r="C15" s="10" t="s">
        <v>425</v>
      </c>
      <c r="D15" s="11" t="s">
        <v>397</v>
      </c>
      <c r="E15" s="19" t="s">
        <v>398</v>
      </c>
      <c r="F15" s="91" t="s">
        <v>443</v>
      </c>
      <c r="G15" s="91" t="s">
        <v>454</v>
      </c>
    </row>
    <row r="16" spans="1:7" x14ac:dyDescent="0.2">
      <c r="A16" s="13" t="s">
        <v>364</v>
      </c>
      <c r="B16" s="9" t="s">
        <v>410</v>
      </c>
      <c r="C16" s="10" t="s">
        <v>411</v>
      </c>
      <c r="D16" s="11" t="s">
        <v>399</v>
      </c>
      <c r="E16" s="19" t="s">
        <v>400</v>
      </c>
      <c r="F16" s="90" t="s">
        <v>517</v>
      </c>
      <c r="G16" s="21" t="s">
        <v>456</v>
      </c>
    </row>
    <row r="17" spans="1:7" x14ac:dyDescent="0.2">
      <c r="A17" s="13" t="s">
        <v>365</v>
      </c>
      <c r="B17" s="9" t="s">
        <v>414</v>
      </c>
      <c r="C17" s="10" t="s">
        <v>368</v>
      </c>
      <c r="D17" s="11" t="s">
        <v>401</v>
      </c>
      <c r="E17" s="19" t="s">
        <v>377</v>
      </c>
      <c r="F17" s="21" t="s">
        <v>455</v>
      </c>
      <c r="G17" s="21" t="s">
        <v>452</v>
      </c>
    </row>
    <row r="18" spans="1:7" x14ac:dyDescent="0.2">
      <c r="A18" s="13" t="s">
        <v>362</v>
      </c>
      <c r="B18" s="9" t="s">
        <v>371</v>
      </c>
      <c r="C18" s="10" t="s">
        <v>370</v>
      </c>
      <c r="D18" s="11" t="s">
        <v>375</v>
      </c>
      <c r="E18" s="19" t="s">
        <v>376</v>
      </c>
      <c r="F18" s="21" t="s">
        <v>457</v>
      </c>
      <c r="G18" s="90" t="s">
        <v>519</v>
      </c>
    </row>
    <row r="19" spans="1:7" x14ac:dyDescent="0.2">
      <c r="A19" s="13" t="s">
        <v>363</v>
      </c>
      <c r="B19" s="9" t="s">
        <v>372</v>
      </c>
      <c r="C19" s="10" t="s">
        <v>369</v>
      </c>
      <c r="D19" s="11" t="s">
        <v>373</v>
      </c>
      <c r="E19" s="19" t="s">
        <v>374</v>
      </c>
      <c r="F19" s="21" t="s">
        <v>453</v>
      </c>
      <c r="G19" s="76"/>
    </row>
    <row r="20" spans="1:7" x14ac:dyDescent="0.2">
      <c r="A20" s="15" t="s">
        <v>367</v>
      </c>
      <c r="B20" s="16" t="s">
        <v>432</v>
      </c>
      <c r="C20" s="17"/>
      <c r="D20" s="18"/>
      <c r="E20" s="20"/>
      <c r="F20" s="22"/>
      <c r="G20" s="22"/>
    </row>
    <row r="21" spans="1:7" x14ac:dyDescent="0.2">
      <c r="F21" s="92" t="s">
        <v>529</v>
      </c>
      <c r="G21" s="28"/>
    </row>
    <row r="22" spans="1:7" x14ac:dyDescent="0.2">
      <c r="F22" s="93" t="s">
        <v>530</v>
      </c>
      <c r="G22" s="28"/>
    </row>
    <row r="23" spans="1:7" x14ac:dyDescent="0.2">
      <c r="G23" s="28"/>
    </row>
    <row r="25" spans="1:7" x14ac:dyDescent="0.2">
      <c r="A25" t="s">
        <v>492</v>
      </c>
      <c r="C25" s="77"/>
    </row>
    <row r="26" spans="1:7" x14ac:dyDescent="0.2">
      <c r="A26" s="52" t="s">
        <v>490</v>
      </c>
      <c r="B26" s="52" t="s">
        <v>491</v>
      </c>
      <c r="C26" s="88" t="s">
        <v>494</v>
      </c>
      <c r="E26" s="108" t="s">
        <v>577</v>
      </c>
    </row>
    <row r="27" spans="1:7" x14ac:dyDescent="0.2">
      <c r="A27" s="53" t="s">
        <v>493</v>
      </c>
      <c r="B27" s="89" t="s">
        <v>447</v>
      </c>
      <c r="C27" s="53" t="s">
        <v>515</v>
      </c>
    </row>
    <row r="28" spans="1:7" x14ac:dyDescent="0.2">
      <c r="A28" s="54"/>
      <c r="B28" s="54" t="s">
        <v>450</v>
      </c>
      <c r="C28" s="50" t="s">
        <v>449</v>
      </c>
    </row>
    <row r="29" spans="1:7" x14ac:dyDescent="0.2">
      <c r="A29" s="55"/>
      <c r="B29" s="106" t="s">
        <v>443</v>
      </c>
      <c r="C29" s="107" t="s">
        <v>454</v>
      </c>
    </row>
    <row r="30" spans="1:7" x14ac:dyDescent="0.2">
      <c r="A30" s="56" t="s">
        <v>495</v>
      </c>
      <c r="B30" s="53" t="s">
        <v>448</v>
      </c>
      <c r="C30" s="49" t="s">
        <v>445</v>
      </c>
    </row>
    <row r="31" spans="1:7" x14ac:dyDescent="0.2">
      <c r="A31" s="57"/>
      <c r="B31" s="55" t="s">
        <v>512</v>
      </c>
      <c r="C31" s="51" t="s">
        <v>446</v>
      </c>
    </row>
    <row r="32" spans="1:7" x14ac:dyDescent="0.2">
      <c r="A32" s="56" t="s">
        <v>496</v>
      </c>
      <c r="B32" s="53" t="s">
        <v>458</v>
      </c>
      <c r="C32" s="75" t="s">
        <v>514</v>
      </c>
    </row>
    <row r="33" spans="1:3" x14ac:dyDescent="0.2">
      <c r="A33" s="57"/>
      <c r="B33" s="55" t="s">
        <v>438</v>
      </c>
      <c r="C33" s="51"/>
    </row>
    <row r="34" spans="1:3" x14ac:dyDescent="0.2">
      <c r="A34" s="75" t="s">
        <v>511</v>
      </c>
      <c r="B34" s="75" t="s">
        <v>436</v>
      </c>
      <c r="C34" s="75" t="s">
        <v>441</v>
      </c>
    </row>
    <row r="35" spans="1:3" x14ac:dyDescent="0.2">
      <c r="A35" s="51"/>
      <c r="B35" s="95" t="s">
        <v>531</v>
      </c>
      <c r="C35" s="95" t="s">
        <v>437</v>
      </c>
    </row>
  </sheetData>
  <sortState xmlns:xlrd2="http://schemas.microsoft.com/office/spreadsheetml/2017/richdata2" ref="F6:F27">
    <sortCondition ref="F6:F27"/>
  </sortState>
  <mergeCells count="3">
    <mergeCell ref="D3:E3"/>
    <mergeCell ref="B3:C3"/>
    <mergeCell ref="F3:G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0885A-E1B7-4049-9312-9FC146A962A4}">
  <dimension ref="A1:V29"/>
  <sheetViews>
    <sheetView tabSelected="1" workbookViewId="0">
      <selection activeCell="AF17" sqref="AF17"/>
    </sheetView>
  </sheetViews>
  <sheetFormatPr baseColWidth="10" defaultRowHeight="16" x14ac:dyDescent="0.2"/>
  <cols>
    <col min="1" max="1" width="11.5" bestFit="1" customWidth="1"/>
    <col min="2" max="2" width="15.83203125" bestFit="1" customWidth="1"/>
    <col min="3" max="3" width="26.1640625" bestFit="1" customWidth="1"/>
    <col min="4" max="4" width="11.5" bestFit="1" customWidth="1"/>
    <col min="5" max="5" width="5.1640625" bestFit="1" customWidth="1"/>
    <col min="6" max="7" width="9.83203125" bestFit="1" customWidth="1"/>
    <col min="8" max="17" width="8.1640625" bestFit="1" customWidth="1"/>
    <col min="18" max="18" width="8.83203125" bestFit="1" customWidth="1"/>
    <col min="19" max="20" width="9.83203125" bestFit="1" customWidth="1"/>
    <col min="21" max="22" width="12.83203125" bestFit="1" customWidth="1"/>
  </cols>
  <sheetData>
    <row r="1" spans="1:22" x14ac:dyDescent="0.2">
      <c r="A1" s="3" t="s">
        <v>598</v>
      </c>
    </row>
    <row r="2" spans="1:22" x14ac:dyDescent="0.2">
      <c r="A2" s="5" t="s">
        <v>599</v>
      </c>
      <c r="B2" s="105">
        <v>44307</v>
      </c>
    </row>
    <row r="4" spans="1:22" s="5" customFormat="1" x14ac:dyDescent="0.2">
      <c r="A4" s="5" t="s">
        <v>578</v>
      </c>
      <c r="B4" s="5" t="s">
        <v>603</v>
      </c>
      <c r="C4" s="5" t="s">
        <v>604</v>
      </c>
      <c r="D4" s="5" t="s">
        <v>605</v>
      </c>
      <c r="E4" s="5" t="s">
        <v>606</v>
      </c>
      <c r="F4" s="5" t="s">
        <v>607</v>
      </c>
      <c r="G4" s="5" t="s">
        <v>608</v>
      </c>
      <c r="H4" s="5" t="s">
        <v>609</v>
      </c>
      <c r="I4" s="5" t="s">
        <v>610</v>
      </c>
      <c r="J4" s="5" t="s">
        <v>611</v>
      </c>
      <c r="K4" s="5" t="s">
        <v>612</v>
      </c>
      <c r="L4" s="5" t="s">
        <v>613</v>
      </c>
      <c r="M4" s="5" t="s">
        <v>614</v>
      </c>
      <c r="N4" s="5" t="s">
        <v>615</v>
      </c>
      <c r="O4" s="5" t="s">
        <v>616</v>
      </c>
      <c r="P4" s="5" t="s">
        <v>617</v>
      </c>
      <c r="Q4" s="5" t="s">
        <v>618</v>
      </c>
      <c r="R4" s="5" t="s">
        <v>619</v>
      </c>
      <c r="S4" s="5" t="s">
        <v>620</v>
      </c>
      <c r="T4" s="5" t="s">
        <v>621</v>
      </c>
      <c r="U4" s="5" t="s">
        <v>622</v>
      </c>
      <c r="V4" s="5" t="s">
        <v>623</v>
      </c>
    </row>
    <row r="5" spans="1:22" x14ac:dyDescent="0.2">
      <c r="A5" t="s">
        <v>579</v>
      </c>
      <c r="B5">
        <v>0.24</v>
      </c>
      <c r="C5">
        <v>5.0000000000000001E-3</v>
      </c>
      <c r="D5" t="s">
        <v>624</v>
      </c>
      <c r="E5">
        <v>2019</v>
      </c>
      <c r="F5">
        <v>-0.45657630350768003</v>
      </c>
      <c r="G5">
        <v>131</v>
      </c>
      <c r="H5">
        <v>10</v>
      </c>
      <c r="I5">
        <v>271</v>
      </c>
      <c r="J5">
        <v>-6.52999999999999E-2</v>
      </c>
      <c r="K5">
        <v>6.9800000000000001E-2</v>
      </c>
      <c r="L5">
        <v>2.3000000000000698E-3</v>
      </c>
      <c r="M5">
        <v>0.1431</v>
      </c>
      <c r="N5">
        <v>-0.18289999999999901</v>
      </c>
      <c r="O5">
        <v>7.6699999999999893E-2</v>
      </c>
      <c r="P5">
        <v>6.2799999999999995E-2</v>
      </c>
      <c r="Q5">
        <v>-3.1299999999999897E-2</v>
      </c>
      <c r="R5">
        <v>-9.8799999999999999E-2</v>
      </c>
      <c r="S5">
        <v>0</v>
      </c>
      <c r="T5">
        <v>-0.39151571177906103</v>
      </c>
      <c r="U5">
        <v>9.8610497748337994E-2</v>
      </c>
      <c r="V5">
        <v>-0.88164192130646002</v>
      </c>
    </row>
    <row r="6" spans="1:22" x14ac:dyDescent="0.2">
      <c r="A6" t="s">
        <v>580</v>
      </c>
      <c r="B6">
        <v>0.76</v>
      </c>
      <c r="C6">
        <v>5.0000000000000001E-3</v>
      </c>
      <c r="D6" t="s">
        <v>624</v>
      </c>
      <c r="E6">
        <v>2019</v>
      </c>
      <c r="F6">
        <v>-0.97657630350767999</v>
      </c>
      <c r="G6">
        <v>7056</v>
      </c>
      <c r="H6">
        <v>6954</v>
      </c>
      <c r="I6">
        <v>7158</v>
      </c>
      <c r="J6">
        <v>-6.52999999999999E-2</v>
      </c>
      <c r="K6">
        <v>6.9800000000000001E-2</v>
      </c>
      <c r="L6">
        <v>2.3000000000000698E-3</v>
      </c>
      <c r="M6">
        <v>0.1431</v>
      </c>
      <c r="N6">
        <v>-0.18289999999999901</v>
      </c>
      <c r="O6">
        <v>7.6699999999999893E-2</v>
      </c>
      <c r="P6">
        <v>6.2799999999999995E-2</v>
      </c>
      <c r="Q6">
        <v>-3.1299999999999897E-2</v>
      </c>
      <c r="R6">
        <v>-9.8799999999999999E-2</v>
      </c>
      <c r="S6">
        <v>0</v>
      </c>
      <c r="T6">
        <v>-0.91151571177906099</v>
      </c>
      <c r="U6">
        <v>-0.421389502251662</v>
      </c>
      <c r="V6">
        <v>-1.4016419213064599</v>
      </c>
    </row>
    <row r="7" spans="1:22" x14ac:dyDescent="0.2">
      <c r="A7" t="s">
        <v>581</v>
      </c>
      <c r="B7">
        <v>1.44</v>
      </c>
      <c r="C7">
        <v>5.0000000000000001E-3</v>
      </c>
      <c r="D7" t="s">
        <v>624</v>
      </c>
      <c r="E7">
        <v>2019</v>
      </c>
      <c r="F7">
        <v>-1.6565763035076799</v>
      </c>
      <c r="G7">
        <v>3343</v>
      </c>
      <c r="H7">
        <v>3247</v>
      </c>
      <c r="I7">
        <v>3445</v>
      </c>
      <c r="J7">
        <v>-6.52999999999999E-2</v>
      </c>
      <c r="K7">
        <v>6.9800000000000001E-2</v>
      </c>
      <c r="L7">
        <v>2.3000000000000698E-3</v>
      </c>
      <c r="M7">
        <v>0.1431</v>
      </c>
      <c r="N7">
        <v>-0.18289999999999901</v>
      </c>
      <c r="O7">
        <v>7.6699999999999893E-2</v>
      </c>
      <c r="P7">
        <v>6.2799999999999995E-2</v>
      </c>
      <c r="Q7">
        <v>-3.1299999999999897E-2</v>
      </c>
      <c r="R7">
        <v>-9.8799999999999999E-2</v>
      </c>
      <c r="S7">
        <v>0</v>
      </c>
      <c r="T7">
        <v>-1.5915157117790599</v>
      </c>
      <c r="U7">
        <v>-1.10138950225166</v>
      </c>
      <c r="V7">
        <v>-2.0816419213064599</v>
      </c>
    </row>
    <row r="8" spans="1:22" x14ac:dyDescent="0.2">
      <c r="A8" t="s">
        <v>582</v>
      </c>
      <c r="B8">
        <v>1.6</v>
      </c>
      <c r="C8">
        <v>5.0000000000000001E-3</v>
      </c>
      <c r="D8" t="s">
        <v>624</v>
      </c>
      <c r="E8">
        <v>2019</v>
      </c>
      <c r="F8">
        <v>-1.8165763035076801</v>
      </c>
      <c r="G8">
        <v>3762</v>
      </c>
      <c r="H8">
        <v>3648</v>
      </c>
      <c r="I8">
        <v>3841</v>
      </c>
      <c r="J8">
        <v>-6.52999999999999E-2</v>
      </c>
      <c r="K8">
        <v>6.9800000000000001E-2</v>
      </c>
      <c r="L8">
        <v>2.3000000000000698E-3</v>
      </c>
      <c r="M8">
        <v>0.1431</v>
      </c>
      <c r="N8">
        <v>-0.18289999999999901</v>
      </c>
      <c r="O8">
        <v>7.6699999999999893E-2</v>
      </c>
      <c r="P8">
        <v>6.2799999999999995E-2</v>
      </c>
      <c r="Q8">
        <v>-3.1299999999999897E-2</v>
      </c>
      <c r="R8">
        <v>-9.8799999999999999E-2</v>
      </c>
      <c r="S8">
        <v>0</v>
      </c>
      <c r="T8">
        <v>-1.7515157117790601</v>
      </c>
      <c r="U8">
        <v>-1.2613895022516599</v>
      </c>
      <c r="V8">
        <v>-2.24164192130646</v>
      </c>
    </row>
    <row r="9" spans="1:22" x14ac:dyDescent="0.2">
      <c r="A9" t="s">
        <v>583</v>
      </c>
      <c r="B9">
        <v>1.96</v>
      </c>
      <c r="C9">
        <v>5.0000000000000001E-3</v>
      </c>
      <c r="D9" t="s">
        <v>624</v>
      </c>
      <c r="E9">
        <v>2019</v>
      </c>
      <c r="F9">
        <v>-2.1765763035076802</v>
      </c>
      <c r="G9">
        <v>4019</v>
      </c>
      <c r="H9">
        <v>3910</v>
      </c>
      <c r="I9">
        <v>4141</v>
      </c>
      <c r="J9">
        <v>-6.52999999999999E-2</v>
      </c>
      <c r="K9">
        <v>6.9800000000000001E-2</v>
      </c>
      <c r="L9">
        <v>2.3000000000000698E-3</v>
      </c>
      <c r="M9">
        <v>0.1431</v>
      </c>
      <c r="N9">
        <v>-0.18289999999999901</v>
      </c>
      <c r="O9">
        <v>7.6699999999999893E-2</v>
      </c>
      <c r="P9">
        <v>6.2799999999999995E-2</v>
      </c>
      <c r="Q9">
        <v>-3.1299999999999897E-2</v>
      </c>
      <c r="R9">
        <v>-9.8799999999999999E-2</v>
      </c>
      <c r="S9">
        <v>0</v>
      </c>
      <c r="T9">
        <v>-2.1115157117790599</v>
      </c>
      <c r="U9">
        <v>-1.62138950225166</v>
      </c>
      <c r="V9">
        <v>-2.6016419213064599</v>
      </c>
    </row>
    <row r="10" spans="1:22" x14ac:dyDescent="0.2">
      <c r="A10" t="s">
        <v>584</v>
      </c>
      <c r="B10">
        <v>2.56</v>
      </c>
      <c r="C10">
        <v>5.0000000000000001E-3</v>
      </c>
      <c r="D10" t="s">
        <v>624</v>
      </c>
      <c r="E10">
        <v>2019</v>
      </c>
      <c r="F10">
        <v>-2.7765763035076798</v>
      </c>
      <c r="G10">
        <v>4138</v>
      </c>
      <c r="H10">
        <v>3996</v>
      </c>
      <c r="I10">
        <v>4240</v>
      </c>
      <c r="J10">
        <v>-6.52999999999999E-2</v>
      </c>
      <c r="K10">
        <v>6.9800000000000001E-2</v>
      </c>
      <c r="L10">
        <v>2.3000000000000698E-3</v>
      </c>
      <c r="M10">
        <v>0.1431</v>
      </c>
      <c r="N10">
        <v>-0.18289999999999901</v>
      </c>
      <c r="O10">
        <v>7.6699999999999893E-2</v>
      </c>
      <c r="P10">
        <v>6.2799999999999995E-2</v>
      </c>
      <c r="Q10">
        <v>-3.1299999999999897E-2</v>
      </c>
      <c r="R10">
        <v>-9.8799999999999999E-2</v>
      </c>
      <c r="S10">
        <v>0</v>
      </c>
      <c r="T10">
        <v>-2.71151571177906</v>
      </c>
      <c r="U10">
        <v>-2.2213895022516601</v>
      </c>
      <c r="V10">
        <v>-3.20164192130646</v>
      </c>
    </row>
    <row r="11" spans="1:22" x14ac:dyDescent="0.2">
      <c r="A11" t="s">
        <v>585</v>
      </c>
      <c r="B11">
        <v>3.61</v>
      </c>
      <c r="C11">
        <v>0.01</v>
      </c>
      <c r="D11" t="s">
        <v>624</v>
      </c>
      <c r="E11">
        <v>2019</v>
      </c>
      <c r="F11">
        <v>-3.83157630350768</v>
      </c>
      <c r="G11">
        <v>5397</v>
      </c>
      <c r="H11">
        <v>5319</v>
      </c>
      <c r="I11">
        <v>5468</v>
      </c>
      <c r="J11">
        <v>-6.52999999999999E-2</v>
      </c>
      <c r="K11">
        <v>6.9800000000000001E-2</v>
      </c>
      <c r="L11">
        <v>2.3000000000000698E-3</v>
      </c>
      <c r="M11">
        <v>0.1431</v>
      </c>
      <c r="N11">
        <v>-0.18289999999999901</v>
      </c>
      <c r="O11">
        <v>7.6699999999999893E-2</v>
      </c>
      <c r="P11">
        <v>6.2799999999999995E-2</v>
      </c>
      <c r="Q11">
        <v>-3.1299999999999897E-2</v>
      </c>
      <c r="R11">
        <v>-9.8799999999999999E-2</v>
      </c>
      <c r="S11">
        <v>0</v>
      </c>
      <c r="T11">
        <v>-3.7665157117790602</v>
      </c>
      <c r="U11">
        <v>-3.2713895022516599</v>
      </c>
      <c r="V11">
        <v>-4.2616419213064596</v>
      </c>
    </row>
    <row r="12" spans="1:22" x14ac:dyDescent="0.2">
      <c r="A12" t="s">
        <v>586</v>
      </c>
      <c r="B12">
        <v>4.0650000000000004</v>
      </c>
      <c r="C12">
        <v>5.0000000000000001E-3</v>
      </c>
      <c r="D12" t="s">
        <v>624</v>
      </c>
      <c r="E12">
        <v>2019</v>
      </c>
      <c r="F12">
        <v>-4.2815763035076797</v>
      </c>
      <c r="G12">
        <v>5643</v>
      </c>
      <c r="H12">
        <v>5591</v>
      </c>
      <c r="I12">
        <v>5718</v>
      </c>
      <c r="J12">
        <v>-6.52999999999999E-2</v>
      </c>
      <c r="K12">
        <v>6.9800000000000001E-2</v>
      </c>
      <c r="L12">
        <v>2.3000000000000698E-3</v>
      </c>
      <c r="M12">
        <v>0.1431</v>
      </c>
      <c r="N12">
        <v>-0.18289999999999901</v>
      </c>
      <c r="O12">
        <v>7.6699999999999893E-2</v>
      </c>
      <c r="P12">
        <v>6.2799999999999995E-2</v>
      </c>
      <c r="Q12">
        <v>-3.1299999999999897E-2</v>
      </c>
      <c r="R12">
        <v>-9.8799999999999999E-2</v>
      </c>
      <c r="S12">
        <v>0</v>
      </c>
      <c r="T12">
        <v>-4.2165157117790599</v>
      </c>
      <c r="U12">
        <v>-3.72638950225166</v>
      </c>
      <c r="V12">
        <v>-4.7066419213064599</v>
      </c>
    </row>
    <row r="13" spans="1:22" x14ac:dyDescent="0.2">
      <c r="A13" t="s">
        <v>587</v>
      </c>
      <c r="B13">
        <v>4.8099999999999996</v>
      </c>
      <c r="C13">
        <v>5.0000000000000001E-3</v>
      </c>
      <c r="D13" t="s">
        <v>624</v>
      </c>
      <c r="E13">
        <v>2019</v>
      </c>
      <c r="F13">
        <v>-5.0265763035076798</v>
      </c>
      <c r="G13">
        <v>5737</v>
      </c>
      <c r="H13">
        <v>5604</v>
      </c>
      <c r="I13">
        <v>5892</v>
      </c>
      <c r="J13">
        <v>-6.52999999999999E-2</v>
      </c>
      <c r="K13">
        <v>6.9800000000000001E-2</v>
      </c>
      <c r="L13">
        <v>2.3000000000000698E-3</v>
      </c>
      <c r="M13">
        <v>0.1431</v>
      </c>
      <c r="N13">
        <v>-0.18289999999999901</v>
      </c>
      <c r="O13">
        <v>7.6699999999999893E-2</v>
      </c>
      <c r="P13">
        <v>6.2799999999999995E-2</v>
      </c>
      <c r="Q13">
        <v>-3.1299999999999897E-2</v>
      </c>
      <c r="R13">
        <v>-9.8799999999999999E-2</v>
      </c>
      <c r="S13">
        <v>0</v>
      </c>
      <c r="T13">
        <v>-4.96151571177906</v>
      </c>
      <c r="U13">
        <v>-4.4713895022516601</v>
      </c>
      <c r="V13">
        <v>-5.4516419213064502</v>
      </c>
    </row>
    <row r="14" spans="1:22" x14ac:dyDescent="0.2">
      <c r="A14" t="s">
        <v>588</v>
      </c>
      <c r="B14">
        <v>5.52</v>
      </c>
      <c r="C14">
        <v>5.0000000000000001E-3</v>
      </c>
      <c r="D14" t="s">
        <v>624</v>
      </c>
      <c r="E14">
        <v>2019</v>
      </c>
      <c r="F14">
        <v>-5.7365763035076798</v>
      </c>
      <c r="G14">
        <v>6896</v>
      </c>
      <c r="H14">
        <v>6795</v>
      </c>
      <c r="I14">
        <v>6985</v>
      </c>
      <c r="J14">
        <v>-6.52999999999999E-2</v>
      </c>
      <c r="K14">
        <v>6.9800000000000001E-2</v>
      </c>
      <c r="L14">
        <v>2.3000000000000698E-3</v>
      </c>
      <c r="M14">
        <v>0.1431</v>
      </c>
      <c r="N14">
        <v>-0.18289999999999901</v>
      </c>
      <c r="O14">
        <v>7.6699999999999893E-2</v>
      </c>
      <c r="P14">
        <v>6.2799999999999995E-2</v>
      </c>
      <c r="Q14">
        <v>-3.1299999999999897E-2</v>
      </c>
      <c r="R14">
        <v>-9.8799999999999999E-2</v>
      </c>
      <c r="S14">
        <v>0</v>
      </c>
      <c r="T14">
        <v>-5.67151571177906</v>
      </c>
      <c r="U14">
        <v>-5.1813895022516601</v>
      </c>
      <c r="V14">
        <v>-6.1616419213064502</v>
      </c>
    </row>
    <row r="15" spans="1:22" x14ac:dyDescent="0.2">
      <c r="A15" t="s">
        <v>589</v>
      </c>
      <c r="B15">
        <v>5.95</v>
      </c>
      <c r="C15">
        <v>5.0000000000000001E-3</v>
      </c>
      <c r="D15" t="s">
        <v>624</v>
      </c>
      <c r="E15">
        <v>2019</v>
      </c>
      <c r="F15">
        <v>-6.1665763035076804</v>
      </c>
      <c r="G15">
        <v>6638</v>
      </c>
      <c r="H15">
        <v>6508</v>
      </c>
      <c r="I15">
        <v>6739</v>
      </c>
      <c r="J15">
        <v>-6.52999999999999E-2</v>
      </c>
      <c r="K15">
        <v>6.9800000000000001E-2</v>
      </c>
      <c r="L15">
        <v>2.3000000000000698E-3</v>
      </c>
      <c r="M15">
        <v>0.1431</v>
      </c>
      <c r="N15">
        <v>-0.18289999999999901</v>
      </c>
      <c r="O15">
        <v>7.6699999999999893E-2</v>
      </c>
      <c r="P15">
        <v>6.2799999999999995E-2</v>
      </c>
      <c r="Q15">
        <v>-3.1299999999999897E-2</v>
      </c>
      <c r="R15">
        <v>-9.8799999999999999E-2</v>
      </c>
      <c r="S15">
        <v>0</v>
      </c>
      <c r="T15">
        <v>-6.1015157117790597</v>
      </c>
      <c r="U15">
        <v>-5.6113895022516598</v>
      </c>
      <c r="V15">
        <v>-6.5916419213064597</v>
      </c>
    </row>
    <row r="16" spans="1:22" x14ac:dyDescent="0.2">
      <c r="A16" t="s">
        <v>590</v>
      </c>
      <c r="B16">
        <v>6.43</v>
      </c>
      <c r="C16">
        <v>5.0000000000000001E-3</v>
      </c>
      <c r="D16" t="s">
        <v>624</v>
      </c>
      <c r="E16">
        <v>2019</v>
      </c>
      <c r="F16">
        <v>-6.6465763035076799</v>
      </c>
      <c r="G16">
        <v>7047</v>
      </c>
      <c r="H16">
        <v>6946</v>
      </c>
      <c r="I16">
        <v>7159</v>
      </c>
      <c r="J16">
        <v>-6.52999999999999E-2</v>
      </c>
      <c r="K16">
        <v>6.9800000000000001E-2</v>
      </c>
      <c r="L16">
        <v>2.3000000000000698E-3</v>
      </c>
      <c r="M16">
        <v>0.1431</v>
      </c>
      <c r="N16">
        <v>-0.18289999999999901</v>
      </c>
      <c r="O16">
        <v>7.6699999999999893E-2</v>
      </c>
      <c r="P16">
        <v>6.2799999999999995E-2</v>
      </c>
      <c r="Q16">
        <v>-3.1299999999999897E-2</v>
      </c>
      <c r="R16">
        <v>-9.8799999999999999E-2</v>
      </c>
      <c r="S16">
        <v>0</v>
      </c>
      <c r="T16">
        <v>-6.5815157117790601</v>
      </c>
      <c r="U16">
        <v>-6.0913895022516602</v>
      </c>
      <c r="V16">
        <v>-7.0716419213064503</v>
      </c>
    </row>
    <row r="17" spans="1:22" x14ac:dyDescent="0.2">
      <c r="A17" t="s">
        <v>591</v>
      </c>
      <c r="B17">
        <v>7.66</v>
      </c>
      <c r="C17">
        <v>5.0000000000000001E-3</v>
      </c>
      <c r="D17" t="s">
        <v>624</v>
      </c>
      <c r="E17">
        <v>2019</v>
      </c>
      <c r="F17">
        <v>-7.8765763035076803</v>
      </c>
      <c r="G17">
        <v>6561</v>
      </c>
      <c r="H17">
        <v>6458</v>
      </c>
      <c r="I17">
        <v>6656</v>
      </c>
      <c r="J17">
        <v>-6.52999999999999E-2</v>
      </c>
      <c r="K17">
        <v>6.9800000000000001E-2</v>
      </c>
      <c r="L17">
        <v>2.3000000000000698E-3</v>
      </c>
      <c r="M17">
        <v>0.1431</v>
      </c>
      <c r="N17">
        <v>-0.18289999999999901</v>
      </c>
      <c r="O17">
        <v>7.6699999999999893E-2</v>
      </c>
      <c r="P17">
        <v>6.2799999999999995E-2</v>
      </c>
      <c r="Q17">
        <v>-3.1299999999999897E-2</v>
      </c>
      <c r="R17">
        <v>-9.8799999999999999E-2</v>
      </c>
      <c r="S17">
        <v>0</v>
      </c>
      <c r="T17">
        <v>-7.8115157117790597</v>
      </c>
      <c r="U17">
        <v>-7.3213895022516597</v>
      </c>
      <c r="V17">
        <v>-8.3016419213064498</v>
      </c>
    </row>
    <row r="18" spans="1:22" x14ac:dyDescent="0.2">
      <c r="A18" t="s">
        <v>592</v>
      </c>
      <c r="B18">
        <v>8.6999999999999993</v>
      </c>
      <c r="C18">
        <v>5.0000000000000001E-3</v>
      </c>
      <c r="D18" t="s">
        <v>624</v>
      </c>
      <c r="E18">
        <v>2019</v>
      </c>
      <c r="F18">
        <v>-8.9165763035076804</v>
      </c>
      <c r="G18">
        <v>7371</v>
      </c>
      <c r="H18">
        <v>7321</v>
      </c>
      <c r="I18">
        <v>7429</v>
      </c>
      <c r="J18">
        <v>-6.52999999999999E-2</v>
      </c>
      <c r="K18">
        <v>6.9800000000000001E-2</v>
      </c>
      <c r="L18">
        <v>2.3000000000000698E-3</v>
      </c>
      <c r="M18">
        <v>0.1431</v>
      </c>
      <c r="N18">
        <v>-0.18289999999999901</v>
      </c>
      <c r="O18">
        <v>7.6699999999999893E-2</v>
      </c>
      <c r="P18">
        <v>6.2799999999999995E-2</v>
      </c>
      <c r="Q18">
        <v>-3.1299999999999897E-2</v>
      </c>
      <c r="R18">
        <v>-9.8799999999999999E-2</v>
      </c>
      <c r="S18">
        <v>0</v>
      </c>
      <c r="T18">
        <v>-8.8515157117790597</v>
      </c>
      <c r="U18">
        <v>-8.3613895022516598</v>
      </c>
      <c r="V18">
        <v>-9.3416419213064597</v>
      </c>
    </row>
    <row r="19" spans="1:22" x14ac:dyDescent="0.2">
      <c r="A19" t="s">
        <v>593</v>
      </c>
      <c r="B19">
        <v>9.3699999999999992</v>
      </c>
      <c r="C19">
        <v>5.0000000000000001E-3</v>
      </c>
      <c r="D19" t="s">
        <v>624</v>
      </c>
      <c r="E19">
        <v>2019</v>
      </c>
      <c r="F19">
        <v>-9.5865763035076803</v>
      </c>
      <c r="G19">
        <v>7702</v>
      </c>
      <c r="H19">
        <v>7619</v>
      </c>
      <c r="I19">
        <v>7785</v>
      </c>
      <c r="J19">
        <v>-6.52999999999999E-2</v>
      </c>
      <c r="K19">
        <v>6.9800000000000001E-2</v>
      </c>
      <c r="L19">
        <v>2.3000000000000698E-3</v>
      </c>
      <c r="M19">
        <v>0.1431</v>
      </c>
      <c r="N19">
        <v>-0.18289999999999901</v>
      </c>
      <c r="O19">
        <v>7.6699999999999893E-2</v>
      </c>
      <c r="P19">
        <v>6.2799999999999995E-2</v>
      </c>
      <c r="Q19">
        <v>-3.1299999999999897E-2</v>
      </c>
      <c r="R19">
        <v>-9.8799999999999999E-2</v>
      </c>
      <c r="S19">
        <v>0</v>
      </c>
      <c r="T19">
        <v>-9.5215157117790596</v>
      </c>
      <c r="U19">
        <v>-9.0313895022516597</v>
      </c>
      <c r="V19">
        <v>-10.011641921306399</v>
      </c>
    </row>
    <row r="20" spans="1:22" x14ac:dyDescent="0.2">
      <c r="A20" t="s">
        <v>594</v>
      </c>
      <c r="B20">
        <v>10.02</v>
      </c>
      <c r="C20">
        <v>5.0000000000000001E-3</v>
      </c>
      <c r="D20" t="s">
        <v>624</v>
      </c>
      <c r="E20">
        <v>2019</v>
      </c>
      <c r="F20">
        <v>-10.236576303507601</v>
      </c>
      <c r="G20">
        <v>7611</v>
      </c>
      <c r="H20">
        <v>7523</v>
      </c>
      <c r="I20">
        <v>7670</v>
      </c>
      <c r="J20">
        <v>-6.52999999999999E-2</v>
      </c>
      <c r="K20">
        <v>6.9800000000000001E-2</v>
      </c>
      <c r="L20">
        <v>2.3000000000000698E-3</v>
      </c>
      <c r="M20">
        <v>0.1431</v>
      </c>
      <c r="N20">
        <v>-0.18289999999999901</v>
      </c>
      <c r="O20">
        <v>7.6699999999999893E-2</v>
      </c>
      <c r="P20">
        <v>6.2799999999999995E-2</v>
      </c>
      <c r="Q20">
        <v>-3.1299999999999897E-2</v>
      </c>
      <c r="R20">
        <v>-9.8799999999999999E-2</v>
      </c>
      <c r="S20">
        <v>0</v>
      </c>
      <c r="T20">
        <v>-10.171515711779</v>
      </c>
      <c r="U20">
        <v>-9.6813895022516601</v>
      </c>
      <c r="V20">
        <v>-10.6616419213064</v>
      </c>
    </row>
    <row r="21" spans="1:22" x14ac:dyDescent="0.2">
      <c r="A21" t="s">
        <v>595</v>
      </c>
      <c r="B21">
        <v>10.46</v>
      </c>
      <c r="C21">
        <v>5.0000000000000001E-3</v>
      </c>
      <c r="D21" t="s">
        <v>624</v>
      </c>
      <c r="E21">
        <v>2019</v>
      </c>
      <c r="F21">
        <v>-10.6765763035076</v>
      </c>
      <c r="G21">
        <v>7702</v>
      </c>
      <c r="H21">
        <v>7619</v>
      </c>
      <c r="I21">
        <v>7785</v>
      </c>
      <c r="J21">
        <v>-6.52999999999999E-2</v>
      </c>
      <c r="K21">
        <v>6.9800000000000001E-2</v>
      </c>
      <c r="L21">
        <v>2.3000000000000698E-3</v>
      </c>
      <c r="M21">
        <v>0.1431</v>
      </c>
      <c r="N21">
        <v>-0.18289999999999901</v>
      </c>
      <c r="O21">
        <v>7.6699999999999893E-2</v>
      </c>
      <c r="P21">
        <v>6.2799999999999995E-2</v>
      </c>
      <c r="Q21">
        <v>-3.1299999999999897E-2</v>
      </c>
      <c r="R21">
        <v>-9.8799999999999999E-2</v>
      </c>
      <c r="S21">
        <v>0</v>
      </c>
      <c r="T21">
        <v>-10.611515711779001</v>
      </c>
      <c r="U21">
        <v>-10.121389502251599</v>
      </c>
      <c r="V21">
        <v>-11.101641921306401</v>
      </c>
    </row>
    <row r="22" spans="1:22" x14ac:dyDescent="0.2">
      <c r="A22" t="s">
        <v>596</v>
      </c>
      <c r="B22">
        <v>10.78</v>
      </c>
      <c r="C22">
        <v>5.0000000000000001E-3</v>
      </c>
      <c r="D22" t="s">
        <v>624</v>
      </c>
      <c r="E22">
        <v>2019</v>
      </c>
      <c r="F22">
        <v>-10.996576303507601</v>
      </c>
      <c r="G22">
        <v>7850</v>
      </c>
      <c r="H22">
        <v>7752</v>
      </c>
      <c r="I22">
        <v>7934</v>
      </c>
      <c r="J22">
        <v>-6.52999999999999E-2</v>
      </c>
      <c r="K22">
        <v>6.9800000000000001E-2</v>
      </c>
      <c r="L22">
        <v>2.3000000000000698E-3</v>
      </c>
      <c r="M22">
        <v>0.1431</v>
      </c>
      <c r="N22">
        <v>-0.18289999999999901</v>
      </c>
      <c r="O22">
        <v>7.6699999999999893E-2</v>
      </c>
      <c r="P22">
        <v>6.2799999999999995E-2</v>
      </c>
      <c r="Q22">
        <v>-3.1299999999999897E-2</v>
      </c>
      <c r="R22">
        <v>-9.8799999999999999E-2</v>
      </c>
      <c r="S22">
        <v>0</v>
      </c>
      <c r="T22">
        <v>-10.931515711778999</v>
      </c>
      <c r="U22">
        <v>-10.441389502251599</v>
      </c>
      <c r="V22">
        <v>-11.421641921306399</v>
      </c>
    </row>
    <row r="23" spans="1:22" x14ac:dyDescent="0.2">
      <c r="A23" t="s">
        <v>597</v>
      </c>
      <c r="B23">
        <v>11.45</v>
      </c>
      <c r="C23">
        <v>5.0000000000000001E-3</v>
      </c>
      <c r="D23" t="s">
        <v>624</v>
      </c>
      <c r="E23">
        <v>2019</v>
      </c>
      <c r="F23">
        <v>-11.6665763035076</v>
      </c>
      <c r="G23">
        <v>7976</v>
      </c>
      <c r="H23">
        <v>7934</v>
      </c>
      <c r="I23">
        <v>8022</v>
      </c>
      <c r="J23">
        <v>-6.52999999999999E-2</v>
      </c>
      <c r="K23">
        <v>6.9800000000000001E-2</v>
      </c>
      <c r="L23">
        <v>2.3000000000000698E-3</v>
      </c>
      <c r="M23">
        <v>0.1431</v>
      </c>
      <c r="N23">
        <v>-0.18289999999999901</v>
      </c>
      <c r="O23">
        <v>7.6699999999999893E-2</v>
      </c>
      <c r="P23">
        <v>6.2799999999999995E-2</v>
      </c>
      <c r="Q23">
        <v>-3.1299999999999897E-2</v>
      </c>
      <c r="R23">
        <v>-9.8799999999999999E-2</v>
      </c>
      <c r="S23">
        <v>0</v>
      </c>
      <c r="T23">
        <v>-11.601515711778999</v>
      </c>
      <c r="U23">
        <v>-11.111389502251599</v>
      </c>
      <c r="V23">
        <v>-12.091641921306399</v>
      </c>
    </row>
    <row r="24" spans="1:22" x14ac:dyDescent="0.2">
      <c r="A24" t="s">
        <v>625</v>
      </c>
      <c r="B24">
        <v>8.4450000000000003</v>
      </c>
      <c r="C24">
        <v>4.9999999999998899E-3</v>
      </c>
      <c r="D24" t="s">
        <v>624</v>
      </c>
      <c r="E24">
        <v>2021</v>
      </c>
      <c r="F24">
        <v>-8.6615763035076796</v>
      </c>
      <c r="G24">
        <v>7047</v>
      </c>
      <c r="H24">
        <v>6946</v>
      </c>
      <c r="I24">
        <v>7159</v>
      </c>
      <c r="J24">
        <v>-6.52999999999999E-2</v>
      </c>
      <c r="K24">
        <v>6.9800000000000001E-2</v>
      </c>
      <c r="L24">
        <v>2.3000000000000698E-3</v>
      </c>
      <c r="M24">
        <v>0.1431</v>
      </c>
      <c r="N24">
        <v>-0.18289999999999901</v>
      </c>
      <c r="O24">
        <v>7.6699999999999893E-2</v>
      </c>
      <c r="P24">
        <v>6.2799999999999995E-2</v>
      </c>
      <c r="Q24">
        <v>-3.1299999999999897E-2</v>
      </c>
      <c r="R24">
        <v>-9.8799999999999999E-2</v>
      </c>
      <c r="S24">
        <v>0</v>
      </c>
      <c r="T24">
        <v>-8.5965157117790607</v>
      </c>
      <c r="U24">
        <v>-8.1063895022516608</v>
      </c>
      <c r="V24">
        <v>-9.0866419213064606</v>
      </c>
    </row>
    <row r="25" spans="1:22" x14ac:dyDescent="0.2">
      <c r="A25" t="s">
        <v>626</v>
      </c>
      <c r="B25">
        <v>8.4450000000000003</v>
      </c>
      <c r="C25">
        <v>4.9999999999998899E-3</v>
      </c>
      <c r="D25" t="s">
        <v>624</v>
      </c>
      <c r="E25">
        <v>2021</v>
      </c>
      <c r="F25">
        <v>-8.6615763035076796</v>
      </c>
      <c r="G25">
        <v>7075</v>
      </c>
      <c r="H25">
        <v>6952</v>
      </c>
      <c r="I25">
        <v>7235</v>
      </c>
      <c r="J25">
        <v>-6.52999999999999E-2</v>
      </c>
      <c r="K25">
        <v>6.9800000000000001E-2</v>
      </c>
      <c r="L25">
        <v>2.3000000000000698E-3</v>
      </c>
      <c r="M25">
        <v>0.1431</v>
      </c>
      <c r="N25">
        <v>-0.18289999999999901</v>
      </c>
      <c r="O25">
        <v>7.6699999999999893E-2</v>
      </c>
      <c r="P25">
        <v>6.2799999999999995E-2</v>
      </c>
      <c r="Q25">
        <v>-3.1299999999999897E-2</v>
      </c>
      <c r="R25">
        <v>-9.8799999999999999E-2</v>
      </c>
      <c r="S25">
        <v>0</v>
      </c>
      <c r="T25">
        <v>-8.5965157117790607</v>
      </c>
      <c r="U25">
        <v>-8.1063895022516608</v>
      </c>
      <c r="V25">
        <v>-9.0866419213064606</v>
      </c>
    </row>
    <row r="26" spans="1:22" x14ac:dyDescent="0.2">
      <c r="A26" t="s">
        <v>627</v>
      </c>
      <c r="B26">
        <v>8.4450000000000003</v>
      </c>
      <c r="C26">
        <v>4.9999999999998899E-3</v>
      </c>
      <c r="D26" t="s">
        <v>624</v>
      </c>
      <c r="E26">
        <v>2021</v>
      </c>
      <c r="F26">
        <v>-8.6615763035076796</v>
      </c>
      <c r="G26">
        <v>7056</v>
      </c>
      <c r="H26">
        <v>6954</v>
      </c>
      <c r="I26">
        <v>7158</v>
      </c>
      <c r="J26">
        <v>-6.52999999999999E-2</v>
      </c>
      <c r="K26">
        <v>6.9800000000000001E-2</v>
      </c>
      <c r="L26">
        <v>2.3000000000000698E-3</v>
      </c>
      <c r="M26">
        <v>0.1431</v>
      </c>
      <c r="N26">
        <v>-0.18289999999999901</v>
      </c>
      <c r="O26">
        <v>7.6699999999999893E-2</v>
      </c>
      <c r="P26">
        <v>6.2799999999999995E-2</v>
      </c>
      <c r="Q26">
        <v>-3.1299999999999897E-2</v>
      </c>
      <c r="R26">
        <v>-9.8799999999999999E-2</v>
      </c>
      <c r="S26">
        <v>0</v>
      </c>
      <c r="T26">
        <v>-8.5965157117790607</v>
      </c>
      <c r="U26">
        <v>-8.1063895022516608</v>
      </c>
      <c r="V26">
        <v>-9.0866419213064606</v>
      </c>
    </row>
    <row r="27" spans="1:22" x14ac:dyDescent="0.2">
      <c r="A27" t="s">
        <v>628</v>
      </c>
      <c r="B27">
        <v>8.5049999999999901</v>
      </c>
      <c r="C27">
        <v>4.9999999999998899E-3</v>
      </c>
      <c r="D27" t="s">
        <v>624</v>
      </c>
      <c r="E27">
        <v>2021</v>
      </c>
      <c r="F27">
        <v>-8.7215763035076694</v>
      </c>
      <c r="G27">
        <v>7308</v>
      </c>
      <c r="H27">
        <v>7176</v>
      </c>
      <c r="I27">
        <v>7421</v>
      </c>
      <c r="J27">
        <v>-6.52999999999999E-2</v>
      </c>
      <c r="K27">
        <v>6.9800000000000001E-2</v>
      </c>
      <c r="L27">
        <v>2.3000000000000698E-3</v>
      </c>
      <c r="M27">
        <v>0.1431</v>
      </c>
      <c r="N27">
        <v>-0.18289999999999901</v>
      </c>
      <c r="O27">
        <v>7.6699999999999893E-2</v>
      </c>
      <c r="P27">
        <v>6.2799999999999995E-2</v>
      </c>
      <c r="Q27">
        <v>-3.1299999999999897E-2</v>
      </c>
      <c r="R27">
        <v>-9.8799999999999999E-2</v>
      </c>
      <c r="S27">
        <v>0</v>
      </c>
      <c r="T27">
        <v>-8.6565157117790594</v>
      </c>
      <c r="U27">
        <v>-8.1663895022516595</v>
      </c>
      <c r="V27">
        <v>-9.1466419213064594</v>
      </c>
    </row>
    <row r="28" spans="1:22" x14ac:dyDescent="0.2">
      <c r="A28" t="s">
        <v>629</v>
      </c>
      <c r="B28">
        <v>8.5049999999999901</v>
      </c>
      <c r="C28">
        <v>4.9999999999998899E-3</v>
      </c>
      <c r="D28" t="s">
        <v>624</v>
      </c>
      <c r="E28">
        <v>2021</v>
      </c>
      <c r="F28">
        <v>-8.7215763035076694</v>
      </c>
      <c r="G28">
        <v>7322</v>
      </c>
      <c r="H28">
        <v>7185</v>
      </c>
      <c r="I28">
        <v>7422</v>
      </c>
      <c r="J28">
        <v>-6.52999999999999E-2</v>
      </c>
      <c r="K28">
        <v>6.9800000000000001E-2</v>
      </c>
      <c r="L28">
        <v>2.3000000000000698E-3</v>
      </c>
      <c r="M28">
        <v>0.1431</v>
      </c>
      <c r="N28">
        <v>-0.18289999999999901</v>
      </c>
      <c r="O28">
        <v>7.6699999999999893E-2</v>
      </c>
      <c r="P28">
        <v>6.2799999999999995E-2</v>
      </c>
      <c r="Q28">
        <v>-3.1299999999999897E-2</v>
      </c>
      <c r="R28">
        <v>-9.8799999999999999E-2</v>
      </c>
      <c r="S28">
        <v>0</v>
      </c>
      <c r="T28">
        <v>-8.6565157117790594</v>
      </c>
      <c r="U28">
        <v>-8.1663895022516595</v>
      </c>
      <c r="V28">
        <v>-9.1466419213064594</v>
      </c>
    </row>
    <row r="29" spans="1:22" x14ac:dyDescent="0.2">
      <c r="A29" t="s">
        <v>630</v>
      </c>
      <c r="B29">
        <v>8.5049999999999901</v>
      </c>
      <c r="C29">
        <v>4.9999999999998899E-3</v>
      </c>
      <c r="D29" t="s">
        <v>624</v>
      </c>
      <c r="E29">
        <v>2021</v>
      </c>
      <c r="F29">
        <v>-8.7215763035076694</v>
      </c>
      <c r="G29">
        <v>7069</v>
      </c>
      <c r="H29">
        <v>6964</v>
      </c>
      <c r="I29">
        <v>7163</v>
      </c>
      <c r="J29">
        <v>-6.52999999999999E-2</v>
      </c>
      <c r="K29">
        <v>6.9800000000000001E-2</v>
      </c>
      <c r="L29">
        <v>2.3000000000000698E-3</v>
      </c>
      <c r="M29">
        <v>0.1431</v>
      </c>
      <c r="N29">
        <v>-0.18289999999999901</v>
      </c>
      <c r="O29">
        <v>7.6699999999999893E-2</v>
      </c>
      <c r="P29">
        <v>6.2799999999999995E-2</v>
      </c>
      <c r="Q29">
        <v>-3.1299999999999897E-2</v>
      </c>
      <c r="R29">
        <v>-9.8799999999999999E-2</v>
      </c>
      <c r="S29">
        <v>0</v>
      </c>
      <c r="T29">
        <v>-8.6565157117790594</v>
      </c>
      <c r="U29">
        <v>-8.1663895022516595</v>
      </c>
      <c r="V29">
        <v>-9.1466419213064594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Modern Transect Elev Summary</vt:lpstr>
      <vt:lpstr>Indicative meanings</vt:lpstr>
      <vt:lpstr>Grover</vt:lpstr>
      <vt:lpstr>Oscar</vt:lpstr>
      <vt:lpstr>BertErnie</vt:lpstr>
      <vt:lpstr>BigBird (Fangyi)</vt:lpstr>
      <vt:lpstr>BigBird (Nicole)</vt:lpstr>
      <vt:lpstr>CookieMonster</vt:lpstr>
      <vt:lpstr>Stratigraphy</vt:lpstr>
      <vt:lpstr>BrainCores</vt:lpstr>
      <vt:lpstr>RTKLog</vt:lpstr>
      <vt:lpstr>Radiocarbon</vt:lpstr>
      <vt:lpstr>2021 Dating plan</vt:lpstr>
      <vt:lpstr>RSL SLIPs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Nicole</dc:creator>
  <cp:keywords/>
  <dc:description/>
  <cp:lastModifiedBy>#TAN FANG YI#</cp:lastModifiedBy>
  <cp:revision/>
  <dcterms:created xsi:type="dcterms:W3CDTF">2019-05-14T01:12:37Z</dcterms:created>
  <dcterms:modified xsi:type="dcterms:W3CDTF">2021-04-21T01:44:37Z</dcterms:modified>
  <cp:category/>
  <cp:contentStatus/>
</cp:coreProperties>
</file>