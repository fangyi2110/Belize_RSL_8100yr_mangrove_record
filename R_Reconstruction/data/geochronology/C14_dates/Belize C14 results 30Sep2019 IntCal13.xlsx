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fangyi/Desktop/Codes/Belize plots/data/C14 dates/"/>
    </mc:Choice>
  </mc:AlternateContent>
  <xr:revisionPtr revIDLastSave="0" documentId="13_ncr:1_{8F972454-437E-794A-94D4-5493EA04CE36}" xr6:coauthVersionLast="47" xr6:coauthVersionMax="47" xr10:uidLastSave="{00000000-0000-0000-0000-000000000000}"/>
  <bookViews>
    <workbookView xWindow="0" yWindow="760" windowWidth="30240" windowHeight="17600" activeTab="1" xr2:uid="{00000000-000D-0000-FFFF-FFFF00000000}"/>
  </bookViews>
  <sheets>
    <sheet name="ExportResults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" i="3"/>
</calcChain>
</file>

<file path=xl/sharedStrings.xml><?xml version="1.0" encoding="utf-8"?>
<sst xmlns="http://schemas.openxmlformats.org/spreadsheetml/2006/main" count="339" uniqueCount="167">
  <si>
    <t>BETA</t>
  </si>
  <si>
    <t>SUBMITTER NO</t>
  </si>
  <si>
    <t>CONVENTIONAL AGE</t>
  </si>
  <si>
    <t>CALENDAR CALIBRATION (95.4% PROBABILITY)</t>
  </si>
  <si>
    <t>IRMS d13C</t>
  </si>
  <si>
    <t>IRMS d15N</t>
  </si>
  <si>
    <t>d2H</t>
  </si>
  <si>
    <t>CN</t>
  </si>
  <si>
    <t>Wt %C</t>
  </si>
  <si>
    <t>Wt %N</t>
  </si>
  <si>
    <t>Wt %Col</t>
  </si>
  <si>
    <t>IRMS d18O</t>
  </si>
  <si>
    <t>(MATERIAL): PRETREATMENT</t>
  </si>
  <si>
    <t>SERVICE</t>
  </si>
  <si>
    <t>RECEIVED</t>
  </si>
  <si>
    <t>DUE</t>
  </si>
  <si>
    <t>REPORT COMPLETED</t>
  </si>
  <si>
    <t>Percent Modern Carbon (pMC)</t>
  </si>
  <si>
    <t>Fraction Modern</t>
  </si>
  <si>
    <t>D14C</t>
  </si>
  <si>
    <t>GR/19/C1 196-197</t>
  </si>
  <si>
    <t>3680 +/- 30 BP</t>
  </si>
  <si>
    <t>95.4% probability|	(94.3%)   	2142 - 1964 cal  BC       	(4091 - 3913 cal  BP)           |	(1.1%)    	2190 - 2182 cal  BC       	(4139 - 4131 cal  BP)           |</t>
  </si>
  <si>
    <t>(wood): acid/alkali/acid</t>
  </si>
  <si>
    <t>AMS-Standard delivery</t>
  </si>
  <si>
    <t>9/30/2019</t>
  </si>
  <si>
    <t>10/18/2019</t>
  </si>
  <si>
    <t>10/18/2019 2:05:00 PM</t>
  </si>
  <si>
    <t>63.25 +/- 0.24 pMC</t>
  </si>
  <si>
    <t>0.6325 +/- 0.0024</t>
  </si>
  <si>
    <t>-367.52 +/- 2.36 o/oo</t>
  </si>
  <si>
    <t>GR/19/C1 1143-1146</t>
  </si>
  <si>
    <t>7160 +/- 30 BP</t>
  </si>
  <si>
    <t>95.4% probability|	(95.4%)   	6070 - 5990 cal  BC       	(8019 - 7939 cal  BP)           |</t>
  </si>
  <si>
    <t>41.01 +/- 0.15 pMC</t>
  </si>
  <si>
    <t>0.4101 +/- 0.0015</t>
  </si>
  <si>
    <t>-589.89 +/- 1.53 o/oo</t>
  </si>
  <si>
    <t>GR/19/C1 766-768</t>
  </si>
  <si>
    <t>5760 +/- 30 BP</t>
  </si>
  <si>
    <t>95.4% probability|	(95.4%)   	4701 - 4535 cal  BC       	(6650 - 6484 cal  BP)           |</t>
  </si>
  <si>
    <t>48.82 +/- 0.18 pMC</t>
  </si>
  <si>
    <t>0.4882 +/- 0.0018</t>
  </si>
  <si>
    <t>-511.81 +/- 1.82 o/oo</t>
  </si>
  <si>
    <t>GR/19/C1 1046-1047</t>
  </si>
  <si>
    <t>6870 +/- 30 BP</t>
  </si>
  <si>
    <t>95.4% probability|	(93.9%)   	5839 - 5706 cal  BC       	(7788 - 7655 cal  BP)           |	(1.5%)    	5688 - 5678 cal  BC       	(7637 - 7627 cal  BP)           |</t>
  </si>
  <si>
    <t>42.52 +/- 0.16 pMC</t>
  </si>
  <si>
    <t>0.4252 +/- 0.0016</t>
  </si>
  <si>
    <t>-574.81 +/- 1.59 o/oo</t>
  </si>
  <si>
    <t>GR/19/C1 643-644</t>
  </si>
  <si>
    <t>6140 +/- 30 BP</t>
  </si>
  <si>
    <t>95.4% probability|	(95.4%)   	5209 - 5002 cal  BC       	(7158 - 6951 cal  BP)           |</t>
  </si>
  <si>
    <t>46.56 +/- 0.17 pMC</t>
  </si>
  <si>
    <t>0.4656 +/- 0.0017</t>
  </si>
  <si>
    <t>-534.37 +/- 1.74 o/oo</t>
  </si>
  <si>
    <t>GR/19/C1 1002-1003</t>
  </si>
  <si>
    <t>6750 +/- 30 BP</t>
  </si>
  <si>
    <t>95.4% probability|	(95.4%)   	5714 - 5624 cal  BC       	(7663 - 7573 cal  BP)           |</t>
  </si>
  <si>
    <t>43.16 +/- 0.16 pMC</t>
  </si>
  <si>
    <t>0.4316 +/- 0.0016</t>
  </si>
  <si>
    <t>-568.42 +/- 1.61 o/oo</t>
  </si>
  <si>
    <t>GR/19/C1 595-596</t>
  </si>
  <si>
    <t>5830 +/- 30 BP</t>
  </si>
  <si>
    <t>95.4% probability|	(95.4%)   	4783 - 4605 cal  BC       	(6732 - 6554 cal  BP)           |</t>
  </si>
  <si>
    <t>48.40 +/- 0.18 pMC</t>
  </si>
  <si>
    <t>0.4840 +/- 0.0018</t>
  </si>
  <si>
    <t>-516.04 +/- 1.81 o/oo</t>
  </si>
  <si>
    <t>GR/19/C1 1078-1079</t>
  </si>
  <si>
    <t>7010 +/- 30 BP</t>
  </si>
  <si>
    <t>95.4% probability|	(94.1%)   	5986 - 5836 cal  BC       	(7935 - 7785 cal  BP)           |	(1.3%)    	5823 - 5813 cal  BC       	(7772 - 7762 cal  BP)           |</t>
  </si>
  <si>
    <t>41.78 +/- 0.16 pMC</t>
  </si>
  <si>
    <t>0.4178 +/- 0.0016</t>
  </si>
  <si>
    <t>-582.16 +/- 1.56 o/oo</t>
  </si>
  <si>
    <t>GR/19/C1 361-362</t>
  </si>
  <si>
    <t>4670 +/- 30 BP</t>
  </si>
  <si>
    <t>95.4% probability|	(93.8%)   	3521 - 3367 cal  BC       	(5470 - 5316 cal  BP)           |	(1.6%)    	3620 - 3611 cal  BC       	(5569 - 5560 cal  BP)           |</t>
  </si>
  <si>
    <t>55.91 +/- 0.21 pMC</t>
  </si>
  <si>
    <t>0.5591 +/- 0.0021</t>
  </si>
  <si>
    <t>-440.86 +/- 2.09 o/oo</t>
  </si>
  <si>
    <t>GR/19/C1 937-938</t>
  </si>
  <si>
    <t>(charred material): acid/alkali/acid</t>
  </si>
  <si>
    <t>GR/19/C1 552-553</t>
  </si>
  <si>
    <t>6050 +/- 30 BP</t>
  </si>
  <si>
    <t>95.4% probability|	(95.4%)   	5032 - 4848 cal  BC       	(6981 - 6797 cal  BP)           |</t>
  </si>
  <si>
    <t>47.09 +/- 0.18 pMC</t>
  </si>
  <si>
    <t>0.4709 +/- 0.0018</t>
  </si>
  <si>
    <t>-529.12 +/- 1.76 o/oo</t>
  </si>
  <si>
    <t>GR/19/C1 870-871</t>
  </si>
  <si>
    <t>6470 +/- 30 BP</t>
  </si>
  <si>
    <t>95.4% probability|	(95.4%)   	5484 - 5372 cal  BC       	(7433 - 7321 cal  BP)           |</t>
  </si>
  <si>
    <t>44.69 +/- 0.17 pMC</t>
  </si>
  <si>
    <t>0.4469 +/- 0.0017</t>
  </si>
  <si>
    <t>-553.11 +/- 1.67 o/oo</t>
  </si>
  <si>
    <t>GR/19/C1 406.5-407.5</t>
  </si>
  <si>
    <t>4920 +/- 30 BP</t>
  </si>
  <si>
    <t>95.4% probability|	(95.4%)   	3766 - 3647 cal  BC       	(5715 - 5596 cal  BP)           |</t>
  </si>
  <si>
    <t>54.20 +/- 0.20 pMC</t>
  </si>
  <si>
    <t>0.5420 +/- 0.0020</t>
  </si>
  <si>
    <t>-457.99 +/- 2.02 o/oo</t>
  </si>
  <si>
    <t>GR/19/C1 256-257</t>
  </si>
  <si>
    <t>3770 +/- 30 BP</t>
  </si>
  <si>
    <t>95.4% probability|	(89.3%)   	2290 - 2131 cal  BC       	(4239 - 4080 cal  BP)           |	(6.1%)    	2086 - 2051 cal  BC       	(4035 - 4000 cal  BP)           |</t>
  </si>
  <si>
    <t>62.54 +/- 0.23 pMC</t>
  </si>
  <si>
    <t>0.6254 +/- 0.0023</t>
  </si>
  <si>
    <t>-374.57 +/- 2.34 o/oo</t>
  </si>
  <si>
    <t>GR/19/C1 481-482</t>
  </si>
  <si>
    <t>5000 +/- 30 BP</t>
  </si>
  <si>
    <t>95.4% probability|	(72.5%)   	3813 - 3702 cal  BC       	(5762 - 5651 cal  BP)           |	(22.9%)   	3939 - 3868 cal  BC       	(5888 - 5817 cal  BP)           |</t>
  </si>
  <si>
    <t>53.66 +/- 0.20 pMC</t>
  </si>
  <si>
    <t>0.5366 +/- 0.0020</t>
  </si>
  <si>
    <t>-463.37 +/- 2.00 o/oo</t>
  </si>
  <si>
    <t>GR/19/C1 76-77</t>
  </si>
  <si>
    <t>6150 +/- 30 BP</t>
  </si>
  <si>
    <t>95.4% probability|	(95.4%)   	5211 - 5009 cal  BC       	(7160 - 6958 cal  BP)           |</t>
  </si>
  <si>
    <t>46.51 +/- 0.17 pMC</t>
  </si>
  <si>
    <t>0.4651 +/- 0.0017</t>
  </si>
  <si>
    <t>-534.94 +/- 1.74 o/oo</t>
  </si>
  <si>
    <t>GR/19/C1 144-145</t>
  </si>
  <si>
    <t>3130 +/- 30 BP</t>
  </si>
  <si>
    <t>95.4% probability|	(66.3%)   	1457 - 1371 cal  BC       	(3406 - 3320 cal  BP)           |	(25.9%)   	1359 - 1300 cal  BC       	(3308 - 3249 cal  BP)           |	(3.2%)    	1495 - 1478 cal  BC       	(3444 - 3427 cal  BP)           |</t>
  </si>
  <si>
    <t>67.73 +/- 0.25 pMC</t>
  </si>
  <si>
    <t>0.6773 +/- 0.0025</t>
  </si>
  <si>
    <t>-322.70 +/- 2.53 o/oo</t>
  </si>
  <si>
    <t>GR/19/C1 24-25</t>
  </si>
  <si>
    <t>120 +/- 30 BP</t>
  </si>
  <si>
    <t>95.4% probability|	(62.8%)   	1800 - 1940 cal  AD       	(150 - 10 cal  BP)              |	(32.6%)   	1678 - 1764 cal  AD       	(272 - 186 cal  BP)             |</t>
  </si>
  <si>
    <t>98.52 +/- 0.37 pMC</t>
  </si>
  <si>
    <t>0.9852 +/- 0.0037</t>
  </si>
  <si>
    <t>-14.83 +/- 3.68 o/oo</t>
  </si>
  <si>
    <t>GR/19/C1 160-161</t>
  </si>
  <si>
    <t>3490 +/- 30 BP</t>
  </si>
  <si>
    <t>95.4% probability|	(93.4%)   	1893 - 1741 cal  BC       	(3842 - 3690 cal  BP)           |	(2%)      	1711 - 1700 cal  BC       	(3660 - 3649 cal  BP)           |</t>
  </si>
  <si>
    <t>64.76 +/- 0.24 pMC</t>
  </si>
  <si>
    <t>0.6476 +/- 0.0024</t>
  </si>
  <si>
    <t>-352.39 +/- 2.42 o/oo</t>
  </si>
  <si>
    <t>Depth</t>
  </si>
  <si>
    <t>Type</t>
  </si>
  <si>
    <t>macro</t>
  </si>
  <si>
    <t>Thickness</t>
  </si>
  <si>
    <t>Pretreatment</t>
  </si>
  <si>
    <t>AAA</t>
  </si>
  <si>
    <t>labID</t>
  </si>
  <si>
    <t>age</t>
  </si>
  <si>
    <t>sd</t>
  </si>
  <si>
    <t>curve</t>
  </si>
  <si>
    <t>IntCal20</t>
  </si>
  <si>
    <t>wood</t>
  </si>
  <si>
    <t>BETA 538705</t>
  </si>
  <si>
    <t>BETA 538707</t>
  </si>
  <si>
    <t>BETA 538706</t>
  </si>
  <si>
    <t>BETA 538704</t>
  </si>
  <si>
    <t>BETA 538722</t>
  </si>
  <si>
    <t>BETA 538709</t>
  </si>
  <si>
    <t>BETA 538714</t>
  </si>
  <si>
    <t>BETA 538710</t>
  </si>
  <si>
    <t>BETA 538708</t>
  </si>
  <si>
    <t>BETA 538712</t>
  </si>
  <si>
    <t>BETA 538716</t>
  </si>
  <si>
    <t>BETA 538718</t>
  </si>
  <si>
    <t>BETA 538720</t>
  </si>
  <si>
    <t>BETA 538711</t>
  </si>
  <si>
    <t>BETA 538713</t>
  </si>
  <si>
    <t>BETA 538717</t>
  </si>
  <si>
    <t>BETA 538719</t>
  </si>
  <si>
    <t>BETA 538715</t>
  </si>
  <si>
    <t>BETA 538721</t>
  </si>
  <si>
    <t>DatingMaterial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</si>
</sst>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opLeftCell="F1" zoomScale="84" zoomScaleNormal="175" workbookViewId="0">
      <selection activeCell="E2" sqref="E2"/>
    </sheetView>
  </sheetViews>
  <sheetFormatPr baseColWidth="10" defaultColWidth="8.83203125" defaultRowHeight="15" x14ac:dyDescent="0.2"/>
  <cols>
    <col min="1" max="1" width="7" bestFit="1" customWidth="1"/>
    <col min="2" max="2" width="18.6640625" bestFit="1" customWidth="1"/>
    <col min="3" max="3" width="19.5" bestFit="1" customWidth="1"/>
    <col min="4" max="4" width="232" bestFit="1" customWidth="1"/>
    <col min="5" max="5" width="10.1640625" bestFit="1" customWidth="1"/>
    <col min="6" max="6" width="10.5" bestFit="1" customWidth="1"/>
    <col min="13" max="13" width="32.33203125" bestFit="1" customWidth="1"/>
    <col min="14" max="14" width="21.6640625" bestFit="1" customWidth="1"/>
    <col min="15" max="15" width="9.6640625" bestFit="1" customWidth="1"/>
    <col min="16" max="16" width="10.6640625" bestFit="1" customWidth="1"/>
    <col min="17" max="17" width="20.83203125" bestFit="1" customWidth="1"/>
    <col min="18" max="18" width="28.5" bestFit="1" customWidth="1"/>
    <col min="19" max="19" width="15.6640625" bestFit="1" customWidth="1"/>
    <col min="20" max="20" width="19.332031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135</v>
      </c>
      <c r="V1" t="s">
        <v>136</v>
      </c>
      <c r="W1" t="s">
        <v>138</v>
      </c>
      <c r="X1" t="s">
        <v>139</v>
      </c>
    </row>
    <row r="2" spans="1:24" x14ac:dyDescent="0.2">
      <c r="A2">
        <v>538705</v>
      </c>
      <c r="B2" t="s">
        <v>123</v>
      </c>
      <c r="C2" t="s">
        <v>124</v>
      </c>
      <c r="D2" t="s">
        <v>125</v>
      </c>
      <c r="E2">
        <v>-26.1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126</v>
      </c>
      <c r="S2" t="s">
        <v>127</v>
      </c>
      <c r="T2" t="s">
        <v>128</v>
      </c>
      <c r="U2">
        <v>24.5</v>
      </c>
      <c r="V2" t="s">
        <v>137</v>
      </c>
      <c r="W2">
        <v>1</v>
      </c>
      <c r="X2" t="s">
        <v>140</v>
      </c>
    </row>
    <row r="3" spans="1:24" s="1" customFormat="1" x14ac:dyDescent="0.2">
      <c r="A3" s="1">
        <v>538707</v>
      </c>
      <c r="B3" s="1" t="s">
        <v>111</v>
      </c>
      <c r="C3" s="1" t="s">
        <v>112</v>
      </c>
      <c r="D3" s="1" t="s">
        <v>113</v>
      </c>
      <c r="E3" s="1">
        <v>-27.4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114</v>
      </c>
      <c r="S3" s="1" t="s">
        <v>115</v>
      </c>
      <c r="T3" s="1" t="s">
        <v>116</v>
      </c>
      <c r="U3" s="1">
        <v>76.5</v>
      </c>
      <c r="V3" s="1" t="s">
        <v>137</v>
      </c>
      <c r="W3" s="1">
        <v>1</v>
      </c>
      <c r="X3" t="s">
        <v>140</v>
      </c>
    </row>
    <row r="4" spans="1:24" x14ac:dyDescent="0.2">
      <c r="A4">
        <v>538706</v>
      </c>
      <c r="B4" t="s">
        <v>117</v>
      </c>
      <c r="C4" t="s">
        <v>118</v>
      </c>
      <c r="D4" t="s">
        <v>119</v>
      </c>
      <c r="E4">
        <v>-25.6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  <c r="R4" t="s">
        <v>120</v>
      </c>
      <c r="S4" t="s">
        <v>121</v>
      </c>
      <c r="T4" t="s">
        <v>122</v>
      </c>
      <c r="U4">
        <v>144.5</v>
      </c>
      <c r="V4" t="s">
        <v>137</v>
      </c>
      <c r="W4">
        <v>1</v>
      </c>
      <c r="X4" t="s">
        <v>140</v>
      </c>
    </row>
    <row r="5" spans="1:24" x14ac:dyDescent="0.2">
      <c r="A5">
        <v>538704</v>
      </c>
      <c r="B5" t="s">
        <v>129</v>
      </c>
      <c r="C5" t="s">
        <v>130</v>
      </c>
      <c r="D5" t="s">
        <v>131</v>
      </c>
      <c r="E5">
        <v>-28.3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  <c r="R5" t="s">
        <v>132</v>
      </c>
      <c r="S5" t="s">
        <v>133</v>
      </c>
      <c r="T5" t="s">
        <v>134</v>
      </c>
      <c r="U5">
        <v>160.5</v>
      </c>
      <c r="V5" t="s">
        <v>137</v>
      </c>
      <c r="W5">
        <v>1</v>
      </c>
      <c r="X5" t="s">
        <v>140</v>
      </c>
    </row>
    <row r="6" spans="1:24" x14ac:dyDescent="0.2">
      <c r="A6">
        <v>538722</v>
      </c>
      <c r="B6" t="s">
        <v>20</v>
      </c>
      <c r="C6" t="s">
        <v>21</v>
      </c>
      <c r="D6" t="s">
        <v>22</v>
      </c>
      <c r="E6">
        <v>-27.3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>
        <v>196.5</v>
      </c>
      <c r="V6" t="s">
        <v>137</v>
      </c>
      <c r="W6">
        <v>1</v>
      </c>
      <c r="X6" t="s">
        <v>140</v>
      </c>
    </row>
    <row r="7" spans="1:24" x14ac:dyDescent="0.2">
      <c r="A7">
        <v>538709</v>
      </c>
      <c r="B7" t="s">
        <v>99</v>
      </c>
      <c r="C7" t="s">
        <v>100</v>
      </c>
      <c r="D7" t="s">
        <v>101</v>
      </c>
      <c r="E7">
        <v>-26.5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  <c r="R7" t="s">
        <v>102</v>
      </c>
      <c r="S7" t="s">
        <v>103</v>
      </c>
      <c r="T7" t="s">
        <v>104</v>
      </c>
      <c r="U7">
        <v>256.5</v>
      </c>
      <c r="V7" t="s">
        <v>137</v>
      </c>
      <c r="W7">
        <v>1</v>
      </c>
      <c r="X7" t="s">
        <v>140</v>
      </c>
    </row>
    <row r="8" spans="1:24" x14ac:dyDescent="0.2">
      <c r="A8">
        <v>538714</v>
      </c>
      <c r="B8" t="s">
        <v>73</v>
      </c>
      <c r="C8" t="s">
        <v>74</v>
      </c>
      <c r="D8" t="s">
        <v>75</v>
      </c>
      <c r="E8">
        <v>-24.4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  <c r="R8" t="s">
        <v>76</v>
      </c>
      <c r="S8" t="s">
        <v>77</v>
      </c>
      <c r="T8" t="s">
        <v>78</v>
      </c>
      <c r="U8">
        <v>361.5</v>
      </c>
      <c r="V8" t="s">
        <v>137</v>
      </c>
      <c r="W8">
        <v>1</v>
      </c>
      <c r="X8" t="s">
        <v>140</v>
      </c>
    </row>
    <row r="9" spans="1:24" x14ac:dyDescent="0.2">
      <c r="A9">
        <v>538710</v>
      </c>
      <c r="B9" t="s">
        <v>93</v>
      </c>
      <c r="C9" t="s">
        <v>94</v>
      </c>
      <c r="D9" t="s">
        <v>95</v>
      </c>
      <c r="E9">
        <v>-27.7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96</v>
      </c>
      <c r="S9" t="s">
        <v>97</v>
      </c>
      <c r="T9" t="s">
        <v>98</v>
      </c>
      <c r="U9">
        <v>407</v>
      </c>
      <c r="V9" t="s">
        <v>137</v>
      </c>
      <c r="W9">
        <v>1</v>
      </c>
      <c r="X9" t="s">
        <v>140</v>
      </c>
    </row>
    <row r="10" spans="1:24" x14ac:dyDescent="0.2">
      <c r="A10">
        <v>538708</v>
      </c>
      <c r="B10" t="s">
        <v>105</v>
      </c>
      <c r="C10" t="s">
        <v>106</v>
      </c>
      <c r="D10" t="s">
        <v>107</v>
      </c>
      <c r="E10">
        <v>-27.8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  <c r="R10" t="s">
        <v>108</v>
      </c>
      <c r="S10" t="s">
        <v>109</v>
      </c>
      <c r="T10" t="s">
        <v>110</v>
      </c>
      <c r="U10">
        <v>481.5</v>
      </c>
      <c r="V10" t="s">
        <v>137</v>
      </c>
      <c r="W10">
        <v>1</v>
      </c>
      <c r="X10" t="s">
        <v>140</v>
      </c>
    </row>
    <row r="11" spans="1:24" s="1" customFormat="1" x14ac:dyDescent="0.2">
      <c r="A11" s="1">
        <v>538712</v>
      </c>
      <c r="B11" s="1" t="s">
        <v>81</v>
      </c>
      <c r="C11" s="1" t="s">
        <v>82</v>
      </c>
      <c r="D11" s="1" t="s">
        <v>83</v>
      </c>
      <c r="E11" s="1">
        <v>-26.8</v>
      </c>
      <c r="M11" s="1" t="s">
        <v>23</v>
      </c>
      <c r="N11" s="1" t="s">
        <v>24</v>
      </c>
      <c r="O11" s="1" t="s">
        <v>25</v>
      </c>
      <c r="P11" s="1" t="s">
        <v>26</v>
      </c>
      <c r="Q11" s="1" t="s">
        <v>27</v>
      </c>
      <c r="R11" s="1" t="s">
        <v>84</v>
      </c>
      <c r="S11" s="1" t="s">
        <v>85</v>
      </c>
      <c r="T11" s="1" t="s">
        <v>86</v>
      </c>
      <c r="U11" s="1">
        <v>552.5</v>
      </c>
      <c r="V11" s="1" t="s">
        <v>137</v>
      </c>
      <c r="W11" s="1">
        <v>1</v>
      </c>
      <c r="X11" t="s">
        <v>140</v>
      </c>
    </row>
    <row r="12" spans="1:24" x14ac:dyDescent="0.2">
      <c r="A12">
        <v>538716</v>
      </c>
      <c r="B12" t="s">
        <v>61</v>
      </c>
      <c r="C12" t="s">
        <v>62</v>
      </c>
      <c r="D12" t="s">
        <v>63</v>
      </c>
      <c r="E12">
        <v>-24.3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  <c r="R12" t="s">
        <v>64</v>
      </c>
      <c r="S12" t="s">
        <v>65</v>
      </c>
      <c r="T12" t="s">
        <v>66</v>
      </c>
      <c r="U12">
        <v>595.5</v>
      </c>
      <c r="V12" t="s">
        <v>137</v>
      </c>
      <c r="W12">
        <v>1</v>
      </c>
      <c r="X12" t="s">
        <v>140</v>
      </c>
    </row>
    <row r="13" spans="1:24" x14ac:dyDescent="0.2">
      <c r="A13">
        <v>538718</v>
      </c>
      <c r="B13" t="s">
        <v>49</v>
      </c>
      <c r="C13" t="s">
        <v>50</v>
      </c>
      <c r="D13" t="s">
        <v>51</v>
      </c>
      <c r="E13">
        <v>-26.8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52</v>
      </c>
      <c r="S13" t="s">
        <v>53</v>
      </c>
      <c r="T13" t="s">
        <v>54</v>
      </c>
      <c r="U13">
        <v>643.5</v>
      </c>
      <c r="V13" t="s">
        <v>137</v>
      </c>
      <c r="W13">
        <v>1</v>
      </c>
      <c r="X13" t="s">
        <v>140</v>
      </c>
    </row>
    <row r="14" spans="1:24" s="1" customFormat="1" x14ac:dyDescent="0.2">
      <c r="A14" s="1">
        <v>538720</v>
      </c>
      <c r="B14" s="1" t="s">
        <v>37</v>
      </c>
      <c r="C14" s="1" t="s">
        <v>38</v>
      </c>
      <c r="D14" s="1" t="s">
        <v>39</v>
      </c>
      <c r="E14" s="1">
        <v>-27.6</v>
      </c>
      <c r="M14" s="1" t="s">
        <v>23</v>
      </c>
      <c r="N14" s="1" t="s">
        <v>24</v>
      </c>
      <c r="O14" s="1" t="s">
        <v>25</v>
      </c>
      <c r="P14" s="1" t="s">
        <v>26</v>
      </c>
      <c r="Q14" s="1" t="s">
        <v>27</v>
      </c>
      <c r="R14" s="1" t="s">
        <v>40</v>
      </c>
      <c r="S14" s="1" t="s">
        <v>41</v>
      </c>
      <c r="T14" s="1" t="s">
        <v>42</v>
      </c>
      <c r="U14" s="1">
        <v>767</v>
      </c>
      <c r="V14" s="1" t="s">
        <v>137</v>
      </c>
      <c r="W14" s="1">
        <v>2</v>
      </c>
      <c r="X14" t="s">
        <v>140</v>
      </c>
    </row>
    <row r="15" spans="1:24" x14ac:dyDescent="0.2">
      <c r="A15">
        <v>538711</v>
      </c>
      <c r="B15" t="s">
        <v>87</v>
      </c>
      <c r="C15" t="s">
        <v>88</v>
      </c>
      <c r="D15" t="s">
        <v>89</v>
      </c>
      <c r="E15">
        <v>-27.4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  <c r="R15" t="s">
        <v>90</v>
      </c>
      <c r="S15" t="s">
        <v>91</v>
      </c>
      <c r="T15" t="s">
        <v>92</v>
      </c>
      <c r="U15">
        <v>870.5</v>
      </c>
      <c r="V15" t="s">
        <v>137</v>
      </c>
      <c r="W15">
        <v>1</v>
      </c>
      <c r="X15" t="s">
        <v>140</v>
      </c>
    </row>
    <row r="16" spans="1:24" s="1" customFormat="1" x14ac:dyDescent="0.2">
      <c r="A16" s="1">
        <v>538713</v>
      </c>
      <c r="B16" s="1" t="s">
        <v>79</v>
      </c>
      <c r="C16" s="1" t="s">
        <v>44</v>
      </c>
      <c r="D16" s="1" t="s">
        <v>45</v>
      </c>
      <c r="E16" s="1">
        <v>-28.1</v>
      </c>
      <c r="M16" s="1" t="s">
        <v>80</v>
      </c>
      <c r="N16" s="1" t="s">
        <v>24</v>
      </c>
      <c r="O16" s="1" t="s">
        <v>25</v>
      </c>
      <c r="P16" s="1" t="s">
        <v>26</v>
      </c>
      <c r="Q16" s="1" t="s">
        <v>27</v>
      </c>
      <c r="R16" s="1" t="s">
        <v>46</v>
      </c>
      <c r="S16" s="1" t="s">
        <v>47</v>
      </c>
      <c r="T16" s="1" t="s">
        <v>48</v>
      </c>
      <c r="U16" s="1">
        <v>937.5</v>
      </c>
      <c r="V16" s="1" t="s">
        <v>137</v>
      </c>
      <c r="W16" s="1">
        <v>1</v>
      </c>
      <c r="X16" t="s">
        <v>140</v>
      </c>
    </row>
    <row r="17" spans="1:24" x14ac:dyDescent="0.2">
      <c r="A17">
        <v>538717</v>
      </c>
      <c r="B17" t="s">
        <v>55</v>
      </c>
      <c r="C17" t="s">
        <v>56</v>
      </c>
      <c r="D17" t="s">
        <v>57</v>
      </c>
      <c r="E17">
        <v>-31.6</v>
      </c>
      <c r="M17" t="s">
        <v>23</v>
      </c>
      <c r="N17" t="s">
        <v>24</v>
      </c>
      <c r="O17" t="s">
        <v>25</v>
      </c>
      <c r="P17" t="s">
        <v>26</v>
      </c>
      <c r="Q17" t="s">
        <v>27</v>
      </c>
      <c r="R17" t="s">
        <v>58</v>
      </c>
      <c r="S17" t="s">
        <v>59</v>
      </c>
      <c r="T17" t="s">
        <v>60</v>
      </c>
      <c r="U17">
        <v>1002.5</v>
      </c>
      <c r="V17" t="s">
        <v>137</v>
      </c>
      <c r="W17">
        <v>1</v>
      </c>
      <c r="X17" t="s">
        <v>140</v>
      </c>
    </row>
    <row r="18" spans="1:24" x14ac:dyDescent="0.2">
      <c r="A18">
        <v>538719</v>
      </c>
      <c r="B18" t="s">
        <v>43</v>
      </c>
      <c r="C18" t="s">
        <v>44</v>
      </c>
      <c r="D18" t="s">
        <v>45</v>
      </c>
      <c r="E18">
        <v>-29.1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  <c r="R18" t="s">
        <v>46</v>
      </c>
      <c r="S18" t="s">
        <v>47</v>
      </c>
      <c r="T18" t="s">
        <v>48</v>
      </c>
      <c r="U18">
        <v>1046.5</v>
      </c>
      <c r="V18" t="s">
        <v>137</v>
      </c>
      <c r="W18">
        <v>1</v>
      </c>
      <c r="X18" t="s">
        <v>140</v>
      </c>
    </row>
    <row r="19" spans="1:24" x14ac:dyDescent="0.2">
      <c r="A19">
        <v>538715</v>
      </c>
      <c r="B19" t="s">
        <v>67</v>
      </c>
      <c r="C19" t="s">
        <v>68</v>
      </c>
      <c r="D19" t="s">
        <v>69</v>
      </c>
      <c r="E19">
        <v>-30.2</v>
      </c>
      <c r="M19" t="s">
        <v>23</v>
      </c>
      <c r="N19" t="s">
        <v>24</v>
      </c>
      <c r="O19" t="s">
        <v>25</v>
      </c>
      <c r="P19" t="s">
        <v>26</v>
      </c>
      <c r="Q19" t="s">
        <v>27</v>
      </c>
      <c r="R19" t="s">
        <v>70</v>
      </c>
      <c r="S19" t="s">
        <v>71</v>
      </c>
      <c r="T19" t="s">
        <v>72</v>
      </c>
      <c r="U19">
        <v>1078.5</v>
      </c>
      <c r="V19" t="s">
        <v>137</v>
      </c>
      <c r="W19">
        <v>1</v>
      </c>
      <c r="X19" t="s">
        <v>140</v>
      </c>
    </row>
    <row r="20" spans="1:24" x14ac:dyDescent="0.2">
      <c r="A20">
        <v>538721</v>
      </c>
      <c r="B20" t="s">
        <v>31</v>
      </c>
      <c r="C20" t="s">
        <v>32</v>
      </c>
      <c r="D20" t="s">
        <v>33</v>
      </c>
      <c r="E20">
        <v>-27.6</v>
      </c>
      <c r="M20" t="s">
        <v>23</v>
      </c>
      <c r="N20" t="s">
        <v>24</v>
      </c>
      <c r="O20" t="s">
        <v>25</v>
      </c>
      <c r="P20" t="s">
        <v>26</v>
      </c>
      <c r="Q20" t="s">
        <v>27</v>
      </c>
      <c r="R20" t="s">
        <v>34</v>
      </c>
      <c r="S20" t="s">
        <v>35</v>
      </c>
      <c r="T20" t="s">
        <v>36</v>
      </c>
      <c r="U20">
        <v>1144.5</v>
      </c>
      <c r="V20" t="s">
        <v>137</v>
      </c>
      <c r="W20">
        <v>3</v>
      </c>
      <c r="X20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5D0C-D698-3443-8C94-1F4FC81D5670}">
  <dimension ref="A1:K20"/>
  <sheetViews>
    <sheetView tabSelected="1" workbookViewId="0">
      <selection activeCell="K2" sqref="K2"/>
    </sheetView>
  </sheetViews>
  <sheetFormatPr baseColWidth="10" defaultRowHeight="15" x14ac:dyDescent="0.2"/>
  <cols>
    <col min="2" max="2" width="18.6640625" bestFit="1" customWidth="1"/>
    <col min="3" max="3" width="14" customWidth="1"/>
  </cols>
  <sheetData>
    <row r="1" spans="1:11" x14ac:dyDescent="0.2">
      <c r="A1" t="s">
        <v>141</v>
      </c>
      <c r="B1" t="s">
        <v>1</v>
      </c>
      <c r="C1" t="s">
        <v>142</v>
      </c>
      <c r="D1" t="s">
        <v>143</v>
      </c>
      <c r="E1" t="s">
        <v>144</v>
      </c>
      <c r="F1" t="s">
        <v>4</v>
      </c>
      <c r="G1" t="s">
        <v>135</v>
      </c>
      <c r="H1" t="s">
        <v>136</v>
      </c>
      <c r="I1" t="s">
        <v>138</v>
      </c>
      <c r="J1" t="s">
        <v>139</v>
      </c>
      <c r="K1" t="s">
        <v>166</v>
      </c>
    </row>
    <row r="2" spans="1:11" x14ac:dyDescent="0.2">
      <c r="A2" t="s">
        <v>147</v>
      </c>
      <c r="B2" t="str">
        <f>ExportResults!B2</f>
        <v>GR/19/C1 24-25</v>
      </c>
      <c r="C2">
        <v>120</v>
      </c>
      <c r="D2">
        <v>30</v>
      </c>
      <c r="E2" t="s">
        <v>145</v>
      </c>
      <c r="F2">
        <f>ExportResults!E2</f>
        <v>-26.1</v>
      </c>
      <c r="G2">
        <f>ExportResults!U2</f>
        <v>24.5</v>
      </c>
      <c r="H2" t="str">
        <f>ExportResults!V2</f>
        <v>macro</v>
      </c>
      <c r="I2">
        <f>ExportResults!W2</f>
        <v>1</v>
      </c>
      <c r="J2" t="str">
        <f>ExportResults!X2</f>
        <v>AAA</v>
      </c>
      <c r="K2" t="s">
        <v>146</v>
      </c>
    </row>
    <row r="3" spans="1:11" x14ac:dyDescent="0.2">
      <c r="A3" t="s">
        <v>148</v>
      </c>
      <c r="B3" t="str">
        <f>ExportResults!B3</f>
        <v>GR/19/C1 76-77</v>
      </c>
      <c r="C3" s="1">
        <v>6150</v>
      </c>
      <c r="D3">
        <v>30</v>
      </c>
      <c r="E3" t="s">
        <v>145</v>
      </c>
      <c r="F3">
        <f>ExportResults!E3</f>
        <v>-27.4</v>
      </c>
      <c r="G3">
        <f>ExportResults!U3</f>
        <v>76.5</v>
      </c>
      <c r="H3" t="str">
        <f>ExportResults!V3</f>
        <v>macro</v>
      </c>
      <c r="I3">
        <f>ExportResults!W3</f>
        <v>1</v>
      </c>
      <c r="J3" t="str">
        <f>ExportResults!X3</f>
        <v>AAA</v>
      </c>
      <c r="K3" t="s">
        <v>146</v>
      </c>
    </row>
    <row r="4" spans="1:11" x14ac:dyDescent="0.2">
      <c r="A4" t="s">
        <v>149</v>
      </c>
      <c r="B4" t="str">
        <f>ExportResults!B4</f>
        <v>GR/19/C1 144-145</v>
      </c>
      <c r="C4">
        <v>3130</v>
      </c>
      <c r="D4">
        <v>30</v>
      </c>
      <c r="E4" t="s">
        <v>145</v>
      </c>
      <c r="F4">
        <f>ExportResults!E4</f>
        <v>-25.6</v>
      </c>
      <c r="G4">
        <f>ExportResults!U4</f>
        <v>144.5</v>
      </c>
      <c r="H4" t="str">
        <f>ExportResults!V4</f>
        <v>macro</v>
      </c>
      <c r="I4">
        <f>ExportResults!W4</f>
        <v>1</v>
      </c>
      <c r="J4" t="str">
        <f>ExportResults!X4</f>
        <v>AAA</v>
      </c>
      <c r="K4" t="s">
        <v>146</v>
      </c>
    </row>
    <row r="5" spans="1:11" x14ac:dyDescent="0.2">
      <c r="A5" t="s">
        <v>150</v>
      </c>
      <c r="B5" t="str">
        <f>ExportResults!B5</f>
        <v>GR/19/C1 160-161</v>
      </c>
      <c r="C5">
        <v>3490</v>
      </c>
      <c r="D5">
        <v>30</v>
      </c>
      <c r="E5" t="s">
        <v>145</v>
      </c>
      <c r="F5">
        <f>ExportResults!E5</f>
        <v>-28.3</v>
      </c>
      <c r="G5">
        <f>ExportResults!U5</f>
        <v>160.5</v>
      </c>
      <c r="H5" t="str">
        <f>ExportResults!V5</f>
        <v>macro</v>
      </c>
      <c r="I5">
        <f>ExportResults!W5</f>
        <v>1</v>
      </c>
      <c r="J5" t="str">
        <f>ExportResults!X5</f>
        <v>AAA</v>
      </c>
      <c r="K5" t="s">
        <v>146</v>
      </c>
    </row>
    <row r="6" spans="1:11" x14ac:dyDescent="0.2">
      <c r="A6" t="s">
        <v>151</v>
      </c>
      <c r="B6" t="str">
        <f>ExportResults!B6</f>
        <v>GR/19/C1 196-197</v>
      </c>
      <c r="C6">
        <v>3680</v>
      </c>
      <c r="D6">
        <v>30</v>
      </c>
      <c r="E6" t="s">
        <v>145</v>
      </c>
      <c r="F6">
        <f>ExportResults!E6</f>
        <v>-27.3</v>
      </c>
      <c r="G6">
        <f>ExportResults!U6</f>
        <v>196.5</v>
      </c>
      <c r="H6" t="str">
        <f>ExportResults!V6</f>
        <v>macro</v>
      </c>
      <c r="I6">
        <f>ExportResults!W6</f>
        <v>1</v>
      </c>
      <c r="J6" t="str">
        <f>ExportResults!X6</f>
        <v>AAA</v>
      </c>
      <c r="K6" t="s">
        <v>146</v>
      </c>
    </row>
    <row r="7" spans="1:11" x14ac:dyDescent="0.2">
      <c r="A7" t="s">
        <v>152</v>
      </c>
      <c r="B7" t="str">
        <f>ExportResults!B7</f>
        <v>GR/19/C1 256-257</v>
      </c>
      <c r="C7">
        <v>3770</v>
      </c>
      <c r="D7">
        <v>30</v>
      </c>
      <c r="E7" t="s">
        <v>145</v>
      </c>
      <c r="F7">
        <f>ExportResults!E7</f>
        <v>-26.5</v>
      </c>
      <c r="G7">
        <f>ExportResults!U7</f>
        <v>256.5</v>
      </c>
      <c r="H7" t="str">
        <f>ExportResults!V7</f>
        <v>macro</v>
      </c>
      <c r="I7">
        <f>ExportResults!W7</f>
        <v>1</v>
      </c>
      <c r="J7" t="str">
        <f>ExportResults!X7</f>
        <v>AAA</v>
      </c>
      <c r="K7" t="s">
        <v>146</v>
      </c>
    </row>
    <row r="8" spans="1:11" x14ac:dyDescent="0.2">
      <c r="A8" t="s">
        <v>153</v>
      </c>
      <c r="B8" t="str">
        <f>ExportResults!B8</f>
        <v>GR/19/C1 361-362</v>
      </c>
      <c r="C8">
        <v>4670</v>
      </c>
      <c r="D8">
        <v>30</v>
      </c>
      <c r="E8" t="s">
        <v>145</v>
      </c>
      <c r="F8">
        <f>ExportResults!E8</f>
        <v>-24.4</v>
      </c>
      <c r="G8">
        <f>ExportResults!U8</f>
        <v>361.5</v>
      </c>
      <c r="H8" t="str">
        <f>ExportResults!V8</f>
        <v>macro</v>
      </c>
      <c r="I8">
        <f>ExportResults!W8</f>
        <v>1</v>
      </c>
      <c r="J8" t="str">
        <f>ExportResults!X8</f>
        <v>AAA</v>
      </c>
      <c r="K8" t="s">
        <v>146</v>
      </c>
    </row>
    <row r="9" spans="1:11" x14ac:dyDescent="0.2">
      <c r="A9" t="s">
        <v>154</v>
      </c>
      <c r="B9" t="str">
        <f>ExportResults!B9</f>
        <v>GR/19/C1 406.5-407.5</v>
      </c>
      <c r="C9">
        <v>4920</v>
      </c>
      <c r="D9">
        <v>30</v>
      </c>
      <c r="E9" t="s">
        <v>145</v>
      </c>
      <c r="F9">
        <f>ExportResults!E9</f>
        <v>-27.7</v>
      </c>
      <c r="G9">
        <f>ExportResults!U9</f>
        <v>407</v>
      </c>
      <c r="H9" t="str">
        <f>ExportResults!V9</f>
        <v>macro</v>
      </c>
      <c r="I9">
        <f>ExportResults!W9</f>
        <v>1</v>
      </c>
      <c r="J9" t="str">
        <f>ExportResults!X9</f>
        <v>AAA</v>
      </c>
      <c r="K9" t="s">
        <v>146</v>
      </c>
    </row>
    <row r="10" spans="1:11" x14ac:dyDescent="0.2">
      <c r="A10" t="s">
        <v>155</v>
      </c>
      <c r="B10" t="str">
        <f>ExportResults!B10</f>
        <v>GR/19/C1 481-482</v>
      </c>
      <c r="C10">
        <v>5000</v>
      </c>
      <c r="D10">
        <v>30</v>
      </c>
      <c r="E10" t="s">
        <v>145</v>
      </c>
      <c r="F10">
        <f>ExportResults!E10</f>
        <v>-27.8</v>
      </c>
      <c r="G10">
        <f>ExportResults!U10</f>
        <v>481.5</v>
      </c>
      <c r="H10" t="str">
        <f>ExportResults!V10</f>
        <v>macro</v>
      </c>
      <c r="I10">
        <f>ExportResults!W10</f>
        <v>1</v>
      </c>
      <c r="J10" t="str">
        <f>ExportResults!X10</f>
        <v>AAA</v>
      </c>
      <c r="K10" t="s">
        <v>146</v>
      </c>
    </row>
    <row r="11" spans="1:11" x14ac:dyDescent="0.2">
      <c r="A11" t="s">
        <v>156</v>
      </c>
      <c r="B11" t="str">
        <f>ExportResults!B11</f>
        <v>GR/19/C1 552-553</v>
      </c>
      <c r="C11" s="1">
        <v>6050</v>
      </c>
      <c r="D11">
        <v>30</v>
      </c>
      <c r="E11" t="s">
        <v>145</v>
      </c>
      <c r="F11">
        <f>ExportResults!E11</f>
        <v>-26.8</v>
      </c>
      <c r="G11">
        <f>ExportResults!U11</f>
        <v>552.5</v>
      </c>
      <c r="H11" t="str">
        <f>ExportResults!V11</f>
        <v>macro</v>
      </c>
      <c r="I11">
        <f>ExportResults!W11</f>
        <v>1</v>
      </c>
      <c r="J11" t="str">
        <f>ExportResults!X11</f>
        <v>AAA</v>
      </c>
      <c r="K11" t="s">
        <v>146</v>
      </c>
    </row>
    <row r="12" spans="1:11" x14ac:dyDescent="0.2">
      <c r="A12" t="s">
        <v>157</v>
      </c>
      <c r="B12" t="str">
        <f>ExportResults!B12</f>
        <v>GR/19/C1 595-596</v>
      </c>
      <c r="C12">
        <v>5830</v>
      </c>
      <c r="D12">
        <v>30</v>
      </c>
      <c r="E12" t="s">
        <v>145</v>
      </c>
      <c r="F12">
        <f>ExportResults!E12</f>
        <v>-24.3</v>
      </c>
      <c r="G12">
        <f>ExportResults!U12</f>
        <v>595.5</v>
      </c>
      <c r="H12" t="str">
        <f>ExportResults!V12</f>
        <v>macro</v>
      </c>
      <c r="I12">
        <f>ExportResults!W12</f>
        <v>1</v>
      </c>
      <c r="J12" t="str">
        <f>ExportResults!X12</f>
        <v>AAA</v>
      </c>
      <c r="K12" t="s">
        <v>146</v>
      </c>
    </row>
    <row r="13" spans="1:11" x14ac:dyDescent="0.2">
      <c r="A13" t="s">
        <v>158</v>
      </c>
      <c r="B13" t="str">
        <f>ExportResults!B13</f>
        <v>GR/19/C1 643-644</v>
      </c>
      <c r="C13">
        <v>6140</v>
      </c>
      <c r="D13">
        <v>30</v>
      </c>
      <c r="E13" t="s">
        <v>145</v>
      </c>
      <c r="F13">
        <f>ExportResults!E13</f>
        <v>-26.8</v>
      </c>
      <c r="G13">
        <f>ExportResults!U13</f>
        <v>643.5</v>
      </c>
      <c r="H13" t="str">
        <f>ExportResults!V13</f>
        <v>macro</v>
      </c>
      <c r="I13">
        <f>ExportResults!W13</f>
        <v>1</v>
      </c>
      <c r="J13" t="str">
        <f>ExportResults!X13</f>
        <v>AAA</v>
      </c>
      <c r="K13" t="s">
        <v>146</v>
      </c>
    </row>
    <row r="14" spans="1:11" x14ac:dyDescent="0.2">
      <c r="A14" t="s">
        <v>159</v>
      </c>
      <c r="B14" t="str">
        <f>ExportResults!B14</f>
        <v>GR/19/C1 766-768</v>
      </c>
      <c r="C14" s="1">
        <v>5760</v>
      </c>
      <c r="D14">
        <v>30</v>
      </c>
      <c r="E14" t="s">
        <v>145</v>
      </c>
      <c r="F14">
        <f>ExportResults!E14</f>
        <v>-27.6</v>
      </c>
      <c r="G14">
        <f>ExportResults!U14</f>
        <v>767</v>
      </c>
      <c r="H14" t="str">
        <f>ExportResults!V14</f>
        <v>macro</v>
      </c>
      <c r="I14">
        <f>ExportResults!W14</f>
        <v>2</v>
      </c>
      <c r="J14" t="str">
        <f>ExportResults!X14</f>
        <v>AAA</v>
      </c>
      <c r="K14" t="s">
        <v>146</v>
      </c>
    </row>
    <row r="15" spans="1:11" x14ac:dyDescent="0.2">
      <c r="A15" t="s">
        <v>160</v>
      </c>
      <c r="B15" t="str">
        <f>ExportResults!B15</f>
        <v>GR/19/C1 870-871</v>
      </c>
      <c r="C15">
        <v>6470</v>
      </c>
      <c r="D15">
        <v>30</v>
      </c>
      <c r="E15" t="s">
        <v>145</v>
      </c>
      <c r="F15">
        <f>ExportResults!E15</f>
        <v>-27.4</v>
      </c>
      <c r="G15">
        <f>ExportResults!U15</f>
        <v>870.5</v>
      </c>
      <c r="H15" t="str">
        <f>ExportResults!V15</f>
        <v>macro</v>
      </c>
      <c r="I15">
        <f>ExportResults!W15</f>
        <v>1</v>
      </c>
      <c r="J15" t="str">
        <f>ExportResults!X15</f>
        <v>AAA</v>
      </c>
      <c r="K15" t="s">
        <v>146</v>
      </c>
    </row>
    <row r="16" spans="1:11" x14ac:dyDescent="0.2">
      <c r="A16" t="s">
        <v>161</v>
      </c>
      <c r="B16" t="str">
        <f>ExportResults!B16</f>
        <v>GR/19/C1 937-938</v>
      </c>
      <c r="C16" s="1">
        <v>6870</v>
      </c>
      <c r="D16">
        <v>30</v>
      </c>
      <c r="E16" t="s">
        <v>145</v>
      </c>
      <c r="F16">
        <f>ExportResults!E16</f>
        <v>-28.1</v>
      </c>
      <c r="G16">
        <f>ExportResults!U16</f>
        <v>937.5</v>
      </c>
      <c r="H16" t="str">
        <f>ExportResults!V16</f>
        <v>macro</v>
      </c>
      <c r="I16">
        <f>ExportResults!W16</f>
        <v>1</v>
      </c>
      <c r="J16" t="str">
        <f>ExportResults!X16</f>
        <v>AAA</v>
      </c>
      <c r="K16" t="s">
        <v>146</v>
      </c>
    </row>
    <row r="17" spans="1:11" x14ac:dyDescent="0.2">
      <c r="A17" t="s">
        <v>162</v>
      </c>
      <c r="B17" t="str">
        <f>ExportResults!B17</f>
        <v>GR/19/C1 1002-1003</v>
      </c>
      <c r="C17">
        <v>6750</v>
      </c>
      <c r="D17">
        <v>30</v>
      </c>
      <c r="E17" t="s">
        <v>145</v>
      </c>
      <c r="F17">
        <f>ExportResults!E17</f>
        <v>-31.6</v>
      </c>
      <c r="G17">
        <f>ExportResults!U17</f>
        <v>1002.5</v>
      </c>
      <c r="H17" t="str">
        <f>ExportResults!V17</f>
        <v>macro</v>
      </c>
      <c r="I17">
        <f>ExportResults!W17</f>
        <v>1</v>
      </c>
      <c r="J17" t="str">
        <f>ExportResults!X17</f>
        <v>AAA</v>
      </c>
      <c r="K17" t="s">
        <v>146</v>
      </c>
    </row>
    <row r="18" spans="1:11" x14ac:dyDescent="0.2">
      <c r="A18" t="s">
        <v>163</v>
      </c>
      <c r="B18" t="str">
        <f>ExportResults!B18</f>
        <v>GR/19/C1 1046-1047</v>
      </c>
      <c r="C18">
        <v>6870</v>
      </c>
      <c r="D18">
        <v>30</v>
      </c>
      <c r="E18" t="s">
        <v>145</v>
      </c>
      <c r="F18">
        <f>ExportResults!E18</f>
        <v>-29.1</v>
      </c>
      <c r="G18">
        <f>ExportResults!U18</f>
        <v>1046.5</v>
      </c>
      <c r="H18" t="str">
        <f>ExportResults!V18</f>
        <v>macro</v>
      </c>
      <c r="I18">
        <f>ExportResults!W18</f>
        <v>1</v>
      </c>
      <c r="J18" t="str">
        <f>ExportResults!X18</f>
        <v>AAA</v>
      </c>
      <c r="K18" t="s">
        <v>146</v>
      </c>
    </row>
    <row r="19" spans="1:11" x14ac:dyDescent="0.2">
      <c r="A19" t="s">
        <v>164</v>
      </c>
      <c r="B19" t="str">
        <f>ExportResults!B19</f>
        <v>GR/19/C1 1078-1079</v>
      </c>
      <c r="C19">
        <v>7010</v>
      </c>
      <c r="D19">
        <v>30</v>
      </c>
      <c r="E19" t="s">
        <v>145</v>
      </c>
      <c r="F19">
        <f>ExportResults!E19</f>
        <v>-30.2</v>
      </c>
      <c r="G19">
        <f>ExportResults!U19</f>
        <v>1078.5</v>
      </c>
      <c r="H19" t="str">
        <f>ExportResults!V19</f>
        <v>macro</v>
      </c>
      <c r="I19">
        <f>ExportResults!W19</f>
        <v>1</v>
      </c>
      <c r="J19" t="str">
        <f>ExportResults!X19</f>
        <v>AAA</v>
      </c>
      <c r="K19" t="s">
        <v>146</v>
      </c>
    </row>
    <row r="20" spans="1:11" x14ac:dyDescent="0.2">
      <c r="A20" t="s">
        <v>165</v>
      </c>
      <c r="B20" t="str">
        <f>ExportResults!B20</f>
        <v>GR/19/C1 1143-1146</v>
      </c>
      <c r="C20">
        <v>7160</v>
      </c>
      <c r="D20">
        <v>30</v>
      </c>
      <c r="E20" t="s">
        <v>145</v>
      </c>
      <c r="F20">
        <f>ExportResults!E20</f>
        <v>-27.6</v>
      </c>
      <c r="G20">
        <f>ExportResults!U20</f>
        <v>1144.5</v>
      </c>
      <c r="H20" t="str">
        <f>ExportResults!V20</f>
        <v>macro</v>
      </c>
      <c r="I20">
        <f>ExportResults!W20</f>
        <v>3</v>
      </c>
      <c r="J20" t="str">
        <f>ExportResults!X20</f>
        <v>AAA</v>
      </c>
      <c r="K2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ExportResults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Tan Fang Yi</cp:lastModifiedBy>
  <dcterms:created xsi:type="dcterms:W3CDTF">2019-10-21T07:28:40Z</dcterms:created>
  <dcterms:modified xsi:type="dcterms:W3CDTF">2025-05-22T06:24:45Z</dcterms:modified>
</cp:coreProperties>
</file>